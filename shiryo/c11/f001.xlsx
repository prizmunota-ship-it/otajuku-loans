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１１．その他データ/"/>
    </mc:Choice>
  </mc:AlternateContent>
  <xr:revisionPtr revIDLastSave="0" documentId="13_ncr:1_{4D2F767C-0E33-174D-91CA-648E9A98056A}" xr6:coauthVersionLast="47" xr6:coauthVersionMax="47" xr10:uidLastSave="{00000000-0000-0000-0000-000000000000}"/>
  <bookViews>
    <workbookView xWindow="3040" yWindow="2040" windowWidth="27900" windowHeight="16860" xr2:uid="{6B32A6CD-E853-5B40-9217-92C24E4E41B9}"/>
  </bookViews>
  <sheets>
    <sheet name="請求書" sheetId="1" r:id="rId1"/>
  </sheets>
  <definedNames>
    <definedName name="_xlnm.Print_Area" localSheetId="0">請求書!$A$1:$U$43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" l="1"/>
  <c r="P32" i="1" a="1"/>
  <c r="P32" i="1" s="1"/>
  <c r="Q31" i="1"/>
  <c r="P31" i="1" a="1"/>
  <c r="P31" i="1" s="1"/>
  <c r="Q30" i="1"/>
  <c r="P30" i="1" a="1"/>
  <c r="P30" i="1" s="1"/>
  <c r="Q29" i="1"/>
  <c r="P29" i="1" a="1"/>
  <c r="P29" i="1" s="1"/>
  <c r="Q28" i="1"/>
  <c r="P28" i="1" a="1"/>
  <c r="P28" i="1" s="1"/>
  <c r="Q27" i="1"/>
  <c r="P27" i="1" a="1"/>
  <c r="P27" i="1" s="1"/>
  <c r="Q26" i="1"/>
  <c r="P26" i="1" a="1"/>
  <c r="P26" i="1" s="1"/>
  <c r="Q25" i="1"/>
  <c r="P25" i="1" a="1"/>
  <c r="P25" i="1" s="1"/>
  <c r="Q23" i="1"/>
  <c r="P23" i="1" a="1"/>
  <c r="P23" i="1" s="1"/>
  <c r="F36" i="1" l="1"/>
  <c r="D36" i="1" s="1"/>
  <c r="F35" i="1"/>
  <c r="D35" i="1" l="1"/>
  <c r="Q34" i="1" s="1"/>
  <c r="Q33" i="1"/>
  <c r="Q35" i="1" l="1"/>
  <c r="B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<sst xmlns="http://schemas.openxmlformats.org/spreadsheetml/2006/main" count="37" uniqueCount="36">
  <si>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請求書</t>
    <rPh sb="0" eb="3">
      <t xml:space="preserve">セイキュウショ </t>
    </rPh>
    <phoneticPr fontId="3"/>
  </si>
  <si>
    <t>発行日</t>
    <rPh sb="0" eb="3">
      <t>ハッコウビ</t>
    </rPh>
    <phoneticPr fontId="3"/>
  </si>
  <si>
    <t>※黄色マーカー部分を記入し、太田へ提出ください！</t>
    <rPh sb="1" eb="3">
      <t xml:space="preserve">キイロ </t>
    </rPh>
    <rPh sb="10" eb="12">
      <t xml:space="preserve">キニュウシ </t>
    </rPh>
    <rPh sb="14" eb="16">
      <t xml:space="preserve">オオタヘ </t>
    </rPh>
    <rPh sb="17" eb="19">
      <t xml:space="preserve">テイシュツ ショウカイシャサマ ケッサイ カクニンゴ シテイノ コウザ ニュウキンシマス </t>
    </rPh>
    <phoneticPr fontId="3"/>
  </si>
  <si>
    <t>登録番号</t>
    <phoneticPr fontId="3"/>
  </si>
  <si>
    <t>紹介者様の決済確認後、指定の口座に入金します</t>
  </si>
  <si>
    <t>◯名前：</t>
    <rPh sb="1" eb="3">
      <t xml:space="preserve">ナマエ </t>
    </rPh>
    <phoneticPr fontId="3"/>
  </si>
  <si>
    <t>下記、正に領収いたしました。</t>
    <rPh sb="0" eb="2">
      <t>カキ</t>
    </rPh>
    <rPh sb="3" eb="4">
      <t xml:space="preserve">セイ </t>
    </rPh>
    <rPh sb="5" eb="7">
      <t>リョウシュウ</t>
    </rPh>
    <phoneticPr fontId="3"/>
  </si>
  <si>
    <t>◯〒</t>
    <rPh sb="0" eb="1">
      <t>◯</t>
    </rPh>
    <phoneticPr fontId="3"/>
  </si>
  <si>
    <t>件名</t>
    <rPh sb="0" eb="2">
      <t>ケンメイ</t>
    </rPh>
    <phoneticPr fontId="3"/>
  </si>
  <si>
    <t>太田塾　紹介料</t>
    <rPh sb="0" eb="2">
      <t xml:space="preserve">オオタ </t>
    </rPh>
    <rPh sb="2" eb="3">
      <t xml:space="preserve">ジュク </t>
    </rPh>
    <rPh sb="4" eb="7">
      <t xml:space="preserve">ショウカイリョウ </t>
    </rPh>
    <phoneticPr fontId="3"/>
  </si>
  <si>
    <t>◯住所：</t>
    <rPh sb="1" eb="3">
      <t xml:space="preserve">ジュウショ </t>
    </rPh>
    <phoneticPr fontId="3"/>
  </si>
  <si>
    <t>◯電話番号：</t>
    <rPh sb="1" eb="5">
      <t xml:space="preserve">デンワバンゴウ </t>
    </rPh>
    <phoneticPr fontId="3"/>
  </si>
  <si>
    <t>合計金額（税込）</t>
    <rPh sb="0" eb="2">
      <t>ゴウケイ</t>
    </rPh>
    <rPh sb="5" eb="7">
      <t>ゼイ</t>
    </rPh>
    <phoneticPr fontId="3"/>
  </si>
  <si>
    <t>振込先</t>
    <rPh sb="0" eb="3">
      <t>フリコミ</t>
    </rPh>
    <phoneticPr fontId="3"/>
  </si>
  <si>
    <t>〇〇銀行　　◯◯支店</t>
    <rPh sb="2" eb="4">
      <t xml:space="preserve">ギンコウ </t>
    </rPh>
    <rPh sb="8" eb="10">
      <t xml:space="preserve">シテン </t>
    </rPh>
    <phoneticPr fontId="3"/>
  </si>
  <si>
    <t>普通・当座　口座番号</t>
    <rPh sb="0" eb="2">
      <t xml:space="preserve">フツウ </t>
    </rPh>
    <rPh sb="3" eb="5">
      <t xml:space="preserve">トウザ </t>
    </rPh>
    <rPh sb="6" eb="10">
      <t xml:space="preserve">コウザバンゴウ </t>
    </rPh>
    <phoneticPr fontId="3"/>
  </si>
  <si>
    <t>口座名</t>
    <rPh sb="0" eb="3">
      <t xml:space="preserve">コウザメイ </t>
    </rPh>
    <phoneticPr fontId="3"/>
  </si>
  <si>
    <t>内容</t>
    <rPh sb="0" eb="2">
      <t>ナイヨウ</t>
    </rPh>
    <phoneticPr fontId="3"/>
  </si>
  <si>
    <t>軽減税率</t>
    <rPh sb="0" eb="4">
      <t>ケイゲンズ</t>
    </rPh>
    <phoneticPr fontId="3"/>
  </si>
  <si>
    <t>数量</t>
    <rPh sb="0" eb="2">
      <t>スウ</t>
    </rPh>
    <phoneticPr fontId="3"/>
  </si>
  <si>
    <t>単位</t>
    <rPh sb="0" eb="2">
      <t>タンイ</t>
    </rPh>
    <phoneticPr fontId="3"/>
  </si>
  <si>
    <t>単価（税抜）</t>
    <rPh sb="0" eb="2">
      <t>タンカ</t>
    </rPh>
    <rPh sb="3" eb="5">
      <t>ゼイヌキ</t>
    </rPh>
    <phoneticPr fontId="3"/>
  </si>
  <si>
    <t>税率</t>
    <rPh sb="0" eb="2">
      <t>ゼイリ</t>
    </rPh>
    <phoneticPr fontId="3"/>
  </si>
  <si>
    <t>金額（税抜）</t>
    <rPh sb="0" eb="2">
      <t>キンガク</t>
    </rPh>
    <rPh sb="3" eb="5">
      <t>ゼイヌキ</t>
    </rPh>
    <phoneticPr fontId="3"/>
  </si>
  <si>
    <t>１．◯◯　◯◯様（入会者名記入、フルネーム）　紹介料</t>
    <rPh sb="7" eb="8">
      <t xml:space="preserve">サマ </t>
    </rPh>
    <rPh sb="9" eb="11">
      <t xml:space="preserve">ニュウカイシャメイ </t>
    </rPh>
    <rPh sb="11" eb="12">
      <t xml:space="preserve">シャ </t>
    </rPh>
    <rPh sb="12" eb="13">
      <t xml:space="preserve">ナマエ </t>
    </rPh>
    <rPh sb="13" eb="15">
      <t xml:space="preserve">キニュウ </t>
    </rPh>
    <rPh sb="23" eb="26">
      <t xml:space="preserve">ショウカイリョウ </t>
    </rPh>
    <phoneticPr fontId="3"/>
  </si>
  <si>
    <t>名</t>
    <rPh sb="0" eb="1">
      <t xml:space="preserve">メイ </t>
    </rPh>
    <phoneticPr fontId="3"/>
  </si>
  <si>
    <t>※は軽減税率対象です。</t>
    <rPh sb="2" eb="6">
      <t>ケイゲンズ</t>
    </rPh>
    <rPh sb="6" eb="8">
      <t>タイショウ</t>
    </rPh>
    <phoneticPr fontId="3"/>
  </si>
  <si>
    <t>小計</t>
    <rPh sb="0" eb="2">
      <t>ショウケイ</t>
    </rPh>
    <phoneticPr fontId="3"/>
  </si>
  <si>
    <t>税率区分</t>
    <rPh sb="0" eb="2">
      <t>ゼイリ</t>
    </rPh>
    <rPh sb="2" eb="4">
      <t>クブn</t>
    </rPh>
    <phoneticPr fontId="3"/>
  </si>
  <si>
    <t>消費税</t>
    <rPh sb="0" eb="3">
      <t>ショウヒゼイ</t>
    </rPh>
    <phoneticPr fontId="3"/>
  </si>
  <si>
    <t>消費税</t>
    <rPh sb="0" eb="3">
      <t>ショウヒ</t>
    </rPh>
    <phoneticPr fontId="3"/>
  </si>
  <si>
    <t>10%対象</t>
    <rPh sb="3" eb="5">
      <t>タイショ</t>
    </rPh>
    <phoneticPr fontId="3"/>
  </si>
  <si>
    <t>合計</t>
    <rPh sb="0" eb="2">
      <t>ゴウケイ</t>
    </rPh>
    <phoneticPr fontId="3"/>
  </si>
  <si>
    <t>8%対象</t>
    <rPh sb="2" eb="4">
      <t>タイショ</t>
    </rPh>
    <phoneticPr fontId="3"/>
  </si>
  <si>
    <t>備考</t>
    <rPh sb="0" eb="2">
      <t>ビコウ</t>
    </rPh>
    <phoneticPr fontId="3"/>
  </si>
  <si>
    <t>（株）プライズムン　　　　御中</t>
    <rPh sb="1" eb="2">
      <t xml:space="preserve">カブ </t>
    </rPh>
    <rPh sb="13" eb="15">
      <t xml:space="preserve">オンチュウ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</si>
</sst>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〒&quot;000\-0000"/>
    <numFmt numFmtId="177" formatCode="yyyy/m/d;@"/>
  </numFmts>
  <fonts count="1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36"/>
      <color theme="0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16"/>
      <color theme="0"/>
      <name val="ＭＳ Ｐゴシック"/>
      <family val="2"/>
      <charset val="128"/>
    </font>
    <font>
      <sz val="32"/>
      <color theme="1"/>
      <name val="ＭＳ Ｐゴシック"/>
      <family val="2"/>
      <charset val="128"/>
    </font>
    <font>
      <sz val="14"/>
      <color theme="0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864F0"/>
        <bgColor indexed="64"/>
      </patternFill>
    </fill>
    <fill>
      <patternFill patternType="solid">
        <fgColor rgb="FFF3F17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2" borderId="0" xfId="0" applyFont="1" applyFill="1" applyProtection="1">
      <alignment vertical="center"/>
      <protection locked="0"/>
    </xf>
    <xf numFmtId="0" fontId="6" fillId="2" borderId="0" xfId="0" applyFont="1" applyFill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6" fontId="10" fillId="0" borderId="0" xfId="0" applyNumberFormat="1" applyFont="1" applyAlignment="1">
      <alignment horizontal="right" vertical="center"/>
    </xf>
    <xf numFmtId="0" fontId="9" fillId="3" borderId="16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Protection="1">
      <alignment vertical="center"/>
      <protection locked="0"/>
    </xf>
    <xf numFmtId="0" fontId="9" fillId="3" borderId="3" xfId="0" applyFont="1" applyFill="1" applyBorder="1" applyProtection="1">
      <alignment vertical="center"/>
      <protection locked="0"/>
    </xf>
    <xf numFmtId="0" fontId="11" fillId="3" borderId="17" xfId="0" applyFont="1" applyFill="1" applyBorder="1" applyProtection="1">
      <alignment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9" fontId="5" fillId="0" borderId="1" xfId="2" applyFont="1" applyBorder="1" applyProtection="1">
      <alignment vertical="center"/>
    </xf>
    <xf numFmtId="6" fontId="5" fillId="0" borderId="0" xfId="0" applyNumberFormat="1" applyFont="1" applyProtection="1">
      <alignment vertical="center"/>
      <protection locked="0"/>
    </xf>
    <xf numFmtId="6" fontId="5" fillId="0" borderId="0" xfId="1" applyFont="1" applyBorder="1" applyAlignment="1" applyProtection="1">
      <alignment vertical="center"/>
      <protection locked="0"/>
    </xf>
    <xf numFmtId="0" fontId="2" fillId="4" borderId="0" xfId="0" applyFont="1" applyFill="1" applyProtection="1">
      <alignment vertical="center"/>
      <protection locked="0"/>
    </xf>
    <xf numFmtId="0" fontId="8" fillId="4" borderId="0" xfId="0" applyFont="1" applyFill="1" applyProtection="1">
      <alignment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6" fontId="5" fillId="0" borderId="1" xfId="0" applyNumberFormat="1" applyFont="1" applyBorder="1">
      <alignment vertical="center"/>
    </xf>
    <xf numFmtId="6" fontId="5" fillId="0" borderId="2" xfId="1" applyFont="1" applyBorder="1" applyAlignment="1" applyProtection="1">
      <alignment vertical="center"/>
    </xf>
    <xf numFmtId="6" fontId="5" fillId="0" borderId="4" xfId="1" applyFont="1" applyBorder="1" applyAlignment="1" applyProtection="1">
      <alignment vertical="center"/>
    </xf>
    <xf numFmtId="6" fontId="9" fillId="3" borderId="2" xfId="0" applyNumberFormat="1" applyFont="1" applyFill="1" applyBorder="1" applyAlignment="1" applyProtection="1">
      <alignment horizontal="center" vertical="center"/>
      <protection locked="0"/>
    </xf>
    <xf numFmtId="6" fontId="9" fillId="3" borderId="4" xfId="0" applyNumberFormat="1" applyFont="1" applyFill="1" applyBorder="1" applyAlignment="1" applyProtection="1">
      <alignment horizontal="center" vertical="center"/>
      <protection locked="0"/>
    </xf>
    <xf numFmtId="6" fontId="5" fillId="0" borderId="2" xfId="0" applyNumberFormat="1" applyFont="1" applyBorder="1">
      <alignment vertical="center"/>
    </xf>
    <xf numFmtId="6" fontId="5" fillId="0" borderId="4" xfId="0" applyNumberFormat="1" applyFont="1" applyBorder="1">
      <alignment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6" fontId="5" fillId="0" borderId="1" xfId="1" applyFont="1" applyBorder="1" applyAlignment="1" applyProtection="1">
      <alignment horizontal="right" vertical="center"/>
      <protection locked="0"/>
    </xf>
    <xf numFmtId="6" fontId="5" fillId="0" borderId="1" xfId="1" applyFont="1" applyBorder="1" applyAlignment="1" applyProtection="1">
      <alignment horizontal="right" vertical="center"/>
    </xf>
    <xf numFmtId="6" fontId="9" fillId="3" borderId="2" xfId="1" applyFont="1" applyFill="1" applyBorder="1" applyAlignment="1" applyProtection="1">
      <alignment horizontal="center" vertical="center"/>
      <protection locked="0"/>
    </xf>
    <xf numFmtId="6" fontId="9" fillId="3" borderId="4" xfId="1" applyFont="1" applyFill="1" applyBorder="1" applyAlignment="1" applyProtection="1">
      <alignment horizontal="center" vertical="center"/>
      <protection locked="0"/>
    </xf>
    <xf numFmtId="6" fontId="5" fillId="0" borderId="2" xfId="1" applyFont="1" applyBorder="1" applyAlignment="1" applyProtection="1">
      <alignment horizontal="right" vertical="center"/>
    </xf>
    <xf numFmtId="6" fontId="5" fillId="0" borderId="4" xfId="1" applyFont="1" applyBorder="1" applyAlignment="1" applyProtection="1">
      <alignment horizontal="right" vertical="center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4" borderId="2" xfId="0" applyFont="1" applyFill="1" applyBorder="1" applyProtection="1">
      <alignment vertical="center"/>
      <protection locked="0"/>
    </xf>
    <xf numFmtId="0" fontId="5" fillId="4" borderId="3" xfId="0" applyFont="1" applyFill="1" applyBorder="1" applyProtection="1">
      <alignment vertical="center"/>
      <protection locked="0"/>
    </xf>
    <xf numFmtId="0" fontId="5" fillId="4" borderId="18" xfId="0" applyFont="1" applyFill="1" applyBorder="1" applyProtection="1">
      <alignment vertical="center"/>
      <protection locked="0"/>
    </xf>
    <xf numFmtId="0" fontId="5" fillId="4" borderId="0" xfId="0" applyFont="1" applyFill="1" applyAlignment="1" applyProtection="1">
      <alignment vertical="center" wrapText="1"/>
      <protection locked="0"/>
    </xf>
    <xf numFmtId="0" fontId="5" fillId="4" borderId="0" xfId="0" applyFont="1" applyFill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6" fontId="10" fillId="0" borderId="5" xfId="0" applyNumberFormat="1" applyFont="1" applyBorder="1" applyAlignment="1">
      <alignment horizontal="right" vertical="center"/>
    </xf>
    <xf numFmtId="6" fontId="10" fillId="0" borderId="6" xfId="0" applyNumberFormat="1" applyFont="1" applyBorder="1" applyAlignment="1">
      <alignment horizontal="right" vertical="center"/>
    </xf>
    <xf numFmtId="6" fontId="10" fillId="0" borderId="7" xfId="0" applyNumberFormat="1" applyFont="1" applyBorder="1" applyAlignment="1">
      <alignment horizontal="right" vertical="center"/>
    </xf>
    <xf numFmtId="6" fontId="10" fillId="0" borderId="8" xfId="0" applyNumberFormat="1" applyFont="1" applyBorder="1" applyAlignment="1">
      <alignment horizontal="right" vertical="center"/>
    </xf>
    <xf numFmtId="6" fontId="10" fillId="0" borderId="9" xfId="0" applyNumberFormat="1" applyFont="1" applyBorder="1" applyAlignment="1">
      <alignment horizontal="right" vertical="center"/>
    </xf>
    <xf numFmtId="6" fontId="10" fillId="0" borderId="10" xfId="0" applyNumberFormat="1" applyFont="1" applyBorder="1" applyAlignment="1">
      <alignment horizontal="right" vertical="center"/>
    </xf>
    <xf numFmtId="177" fontId="5" fillId="0" borderId="2" xfId="0" applyNumberFormat="1" applyFont="1" applyBorder="1" applyProtection="1">
      <alignment vertical="center"/>
      <protection locked="0"/>
    </xf>
    <xf numFmtId="177" fontId="5" fillId="0" borderId="3" xfId="0" applyNumberFormat="1" applyFont="1" applyBorder="1" applyProtection="1">
      <alignment vertical="center"/>
      <protection locked="0"/>
    </xf>
    <xf numFmtId="177" fontId="5" fillId="0" borderId="4" xfId="0" applyNumberFormat="1" applyFont="1" applyBorder="1" applyProtection="1">
      <alignment vertical="center"/>
      <protection locked="0"/>
    </xf>
    <xf numFmtId="0" fontId="9" fillId="3" borderId="11" xfId="0" applyFont="1" applyFill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left" vertical="center"/>
      <protection locked="0"/>
    </xf>
    <xf numFmtId="0" fontId="5" fillId="4" borderId="6" xfId="0" applyFont="1" applyFill="1" applyBorder="1" applyAlignment="1" applyProtection="1">
      <alignment horizontal="left" vertical="center"/>
      <protection locked="0"/>
    </xf>
    <xf numFmtId="0" fontId="5" fillId="4" borderId="7" xfId="0" applyFont="1" applyFill="1" applyBorder="1" applyAlignment="1" applyProtection="1">
      <alignment horizontal="left" vertical="center"/>
      <protection locked="0"/>
    </xf>
    <xf numFmtId="0" fontId="5" fillId="4" borderId="13" xfId="0" applyFont="1" applyFill="1" applyBorder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5" fillId="4" borderId="14" xfId="0" applyFont="1" applyFill="1" applyBorder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5" fillId="4" borderId="9" xfId="0" applyFont="1" applyFill="1" applyBorder="1" applyAlignment="1" applyProtection="1">
      <alignment horizontal="left" vertical="center"/>
      <protection locked="0"/>
    </xf>
    <xf numFmtId="0" fontId="5" fillId="4" borderId="10" xfId="0" applyFont="1" applyFill="1" applyBorder="1" applyAlignment="1" applyProtection="1">
      <alignment horizontal="left" vertical="center"/>
      <protection locked="0"/>
    </xf>
    <xf numFmtId="176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0" fontId="5" fillId="0" borderId="4" xfId="0" applyFont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176" fontId="5" fillId="4" borderId="0" xfId="0" applyNumberFormat="1" applyFont="1" applyFill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5" fillId="4" borderId="0" xfId="0" applyNumberFormat="1" applyFont="1" applyFill="1" applyAlignment="1" applyProtection="1">
      <alignment horizontal="left" vertical="center"/>
      <protection locked="0"/>
    </xf>
    <xf numFmtId="49" fontId="5" fillId="4" borderId="0" xfId="0" applyNumberFormat="1" applyFont="1" applyFill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</cellXfs>
  <cellStyles count="3">
    <cellStyle name="パーセント" xfId="2" builtinId="5"/>
    <cellStyle name="通貨" xfId="1" builtinId="7"/>
    <cellStyle name="標準" xfId="0" builtinId="0"/>
  </cellStyles>
  <dxfs count="0"/>
  <tableStyles count="0" defaultTableStyle="TableStyleMedium2" defaultPivotStyle="PivotStyleLight16"/>
  <colors>
    <mruColors>
      <color rgb="FFF3F1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883B-260E-BE4A-90A3-9F1C667C19AA}">
  <dimension ref="A1:AC64"/>
  <sheetViews>
    <sheetView tabSelected="1" view="pageBreakPreview" zoomScale="60" zoomScaleNormal="73" workbookViewId="0">
      <selection activeCell="B7" sqref="B7:J7"/>
    </sheetView>
  </sheetViews>
  <sheetFormatPr baseColWidth="10" defaultColWidth="0" defaultRowHeight="17" customHeight="1" zeroHeight="1"/>
  <cols>
    <col min="1" max="1" width="2" style="2" customWidth="1"/>
    <col min="2" max="2" width="10.42578125" style="2" customWidth="1"/>
    <col min="3" max="3" width="6" style="2" customWidth="1"/>
    <col min="4" max="8" width="8" style="2" customWidth="1"/>
    <col min="9" max="10" width="6.85546875" style="2" customWidth="1"/>
    <col min="11" max="11" width="9.140625" style="2" customWidth="1"/>
    <col min="12" max="13" width="8" style="2" customWidth="1"/>
    <col min="14" max="14" width="7" style="2" customWidth="1"/>
    <col min="15" max="15" width="8.85546875" style="2" customWidth="1"/>
    <col min="16" max="18" width="8" style="2" customWidth="1"/>
    <col min="19" max="20" width="8" style="2" hidden="1" customWidth="1"/>
    <col min="21" max="21" width="1.85546875" style="2" customWidth="1"/>
    <col min="22" max="29" width="10.7109375" style="2" customWidth="1"/>
    <col min="30" max="16384" width="10.7109375" style="2" hidden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53" customHeight="1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1"/>
      <c r="T2" s="1"/>
      <c r="U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ht="3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4" t="s">
        <v>1</v>
      </c>
      <c r="O4" s="84"/>
      <c r="P4" s="85"/>
      <c r="Q4" s="85"/>
      <c r="R4" s="85"/>
      <c r="S4" s="1"/>
      <c r="T4" s="1"/>
      <c r="U4" s="1"/>
      <c r="V4" s="3" t="s">
        <v>2</v>
      </c>
    </row>
    <row r="5" spans="1:22" ht="3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84" t="s">
        <v>3</v>
      </c>
      <c r="O5" s="84"/>
      <c r="P5" s="86"/>
      <c r="Q5" s="86"/>
      <c r="R5" s="86"/>
      <c r="S5" s="1"/>
      <c r="T5" s="1"/>
      <c r="U5" s="1"/>
      <c r="V5" s="3" t="s">
        <v>4</v>
      </c>
    </row>
    <row r="6" spans="1:22" ht="31" customHeight="1">
      <c r="A6" s="1"/>
      <c r="B6" s="87" t="s">
        <v>35</v>
      </c>
      <c r="C6" s="87"/>
      <c r="D6" s="87"/>
      <c r="E6" s="87"/>
      <c r="F6" s="87"/>
      <c r="G6" s="87"/>
      <c r="H6" s="87"/>
      <c r="I6" s="87"/>
      <c r="J6" s="87"/>
      <c r="K6" s="87"/>
      <c r="L6" s="1"/>
      <c r="M6" s="1"/>
      <c r="N6" s="84"/>
      <c r="O6" s="84"/>
      <c r="P6" s="88"/>
      <c r="Q6" s="88"/>
      <c r="R6" s="88"/>
      <c r="S6" s="1"/>
      <c r="T6" s="1"/>
      <c r="U6" s="1"/>
    </row>
    <row r="7" spans="1:22" ht="22" customHeight="1">
      <c r="A7" s="1"/>
      <c r="B7" s="74"/>
      <c r="C7" s="74"/>
      <c r="D7" s="74"/>
      <c r="E7" s="74"/>
      <c r="F7" s="74"/>
      <c r="G7" s="74"/>
      <c r="H7" s="74"/>
      <c r="I7" s="74"/>
      <c r="J7" s="74"/>
      <c r="K7" s="1"/>
      <c r="L7" s="1"/>
      <c r="M7" s="1"/>
      <c r="N7" s="4"/>
      <c r="O7" s="4"/>
      <c r="P7" s="5"/>
      <c r="Q7" s="5"/>
      <c r="R7" s="5"/>
      <c r="S7" s="1"/>
      <c r="T7" s="1"/>
      <c r="U7" s="1"/>
    </row>
    <row r="8" spans="1:22" ht="34" customHeight="1">
      <c r="A8" s="1"/>
      <c r="B8" s="75"/>
      <c r="C8" s="75"/>
      <c r="D8" s="75"/>
      <c r="E8" s="75"/>
      <c r="F8" s="75"/>
      <c r="G8" s="75"/>
      <c r="H8" s="75"/>
      <c r="I8" s="75"/>
      <c r="J8" s="75"/>
      <c r="K8" s="1"/>
      <c r="L8" s="1"/>
      <c r="M8" s="79"/>
      <c r="N8" s="79"/>
      <c r="O8" s="79"/>
      <c r="P8" s="79"/>
      <c r="Q8" s="79"/>
      <c r="R8" s="79"/>
      <c r="S8" s="1"/>
      <c r="T8" s="1"/>
      <c r="U8" s="1"/>
    </row>
    <row r="9" spans="1:22" ht="30" customHeight="1">
      <c r="A9" s="1"/>
      <c r="B9" s="80"/>
      <c r="C9" s="80"/>
      <c r="D9" s="80"/>
      <c r="E9" s="80"/>
      <c r="F9" s="80"/>
      <c r="G9" s="80"/>
      <c r="H9" s="80"/>
      <c r="I9" s="80"/>
      <c r="J9" s="80"/>
      <c r="K9" s="1"/>
      <c r="L9" s="1"/>
      <c r="M9" s="21" t="s">
        <v>5</v>
      </c>
      <c r="N9" s="20"/>
      <c r="O9" s="20"/>
      <c r="P9" s="20"/>
      <c r="Q9" s="20"/>
      <c r="R9" s="20"/>
      <c r="S9" s="1"/>
      <c r="T9" s="1"/>
      <c r="U9" s="1"/>
    </row>
    <row r="10" spans="1:22" ht="38" customHeight="1">
      <c r="A10" s="1"/>
      <c r="B10" s="81" t="s">
        <v>6</v>
      </c>
      <c r="C10" s="81"/>
      <c r="D10" s="81"/>
      <c r="E10" s="81"/>
      <c r="F10" s="81"/>
      <c r="G10" s="81"/>
      <c r="H10" s="81"/>
      <c r="I10" s="81"/>
      <c r="J10" s="81"/>
      <c r="K10" s="7"/>
      <c r="L10" s="7"/>
      <c r="M10" s="82" t="s">
        <v>7</v>
      </c>
      <c r="N10" s="82"/>
      <c r="O10" s="82"/>
      <c r="P10" s="82"/>
      <c r="Q10" s="82"/>
      <c r="R10" s="82"/>
      <c r="S10" s="1"/>
      <c r="T10" s="1"/>
      <c r="U10" s="1"/>
    </row>
    <row r="11" spans="1:22" ht="30" customHeight="1">
      <c r="A11" s="1"/>
      <c r="B11" s="8" t="s">
        <v>8</v>
      </c>
      <c r="C11" s="76" t="s">
        <v>9</v>
      </c>
      <c r="D11" s="77"/>
      <c r="E11" s="77"/>
      <c r="F11" s="77"/>
      <c r="G11" s="77"/>
      <c r="H11" s="78"/>
      <c r="I11" s="1"/>
      <c r="J11" s="1"/>
      <c r="K11" s="1"/>
      <c r="L11" s="1"/>
      <c r="M11" s="22" t="s">
        <v>10</v>
      </c>
      <c r="N11" s="48"/>
      <c r="O11" s="49"/>
      <c r="P11" s="49"/>
      <c r="Q11" s="49"/>
      <c r="R11" s="49"/>
      <c r="S11" s="1"/>
      <c r="T11" s="1"/>
      <c r="U11" s="1"/>
    </row>
    <row r="12" spans="1:22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2" t="s">
        <v>11</v>
      </c>
      <c r="N12" s="49"/>
      <c r="O12" s="49"/>
      <c r="P12" s="49"/>
      <c r="Q12" s="49"/>
      <c r="R12" s="49"/>
      <c r="S12" s="1"/>
      <c r="T12" s="1"/>
      <c r="U12" s="1"/>
    </row>
    <row r="13" spans="1:22" ht="32" customHeight="1">
      <c r="A13" s="1"/>
      <c r="B13" s="50" t="s">
        <v>12</v>
      </c>
      <c r="C13" s="51"/>
      <c r="D13" s="51"/>
      <c r="E13" s="51"/>
      <c r="F13" s="51"/>
      <c r="G13" s="51"/>
      <c r="H13" s="51"/>
      <c r="I13" s="51"/>
      <c r="J13" s="5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ht="32" customHeight="1">
      <c r="A14" s="1"/>
      <c r="B14" s="53">
        <f>Q35</f>
        <v>20000.2</v>
      </c>
      <c r="C14" s="54"/>
      <c r="D14" s="54"/>
      <c r="E14" s="54"/>
      <c r="F14" s="54"/>
      <c r="G14" s="54"/>
      <c r="H14" s="54"/>
      <c r="I14" s="54"/>
      <c r="J14" s="5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ht="36" customHeight="1">
      <c r="A15" s="1"/>
      <c r="B15" s="56"/>
      <c r="C15" s="57"/>
      <c r="D15" s="57"/>
      <c r="E15" s="57"/>
      <c r="F15" s="57"/>
      <c r="G15" s="57"/>
      <c r="H15" s="57"/>
      <c r="I15" s="57"/>
      <c r="J15" s="5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ht="36" customHeight="1">
      <c r="A16" s="1"/>
      <c r="B16" s="9"/>
      <c r="C16" s="9"/>
      <c r="D16" s="9"/>
      <c r="E16" s="9"/>
      <c r="F16" s="9"/>
      <c r="G16" s="9"/>
      <c r="H16" s="9"/>
      <c r="I16" s="9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4" ht="36" customHeight="1">
      <c r="A17" s="1"/>
      <c r="B17" s="62" t="s">
        <v>13</v>
      </c>
      <c r="C17" s="65" t="s">
        <v>14</v>
      </c>
      <c r="D17" s="66"/>
      <c r="E17" s="66"/>
      <c r="F17" s="66"/>
      <c r="G17" s="66"/>
      <c r="H17" s="67"/>
      <c r="I17" s="9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20"/>
    </row>
    <row r="18" spans="1:24" ht="36" customHeight="1">
      <c r="A18" s="1"/>
      <c r="B18" s="63"/>
      <c r="C18" s="68" t="s">
        <v>15</v>
      </c>
      <c r="D18" s="69"/>
      <c r="E18" s="69"/>
      <c r="F18" s="69"/>
      <c r="G18" s="69"/>
      <c r="H18" s="70"/>
      <c r="I18" s="9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4" ht="36" customHeight="1">
      <c r="A19" s="1"/>
      <c r="B19" s="64"/>
      <c r="C19" s="71" t="s">
        <v>16</v>
      </c>
      <c r="D19" s="72"/>
      <c r="E19" s="72"/>
      <c r="F19" s="72"/>
      <c r="G19" s="72"/>
      <c r="H19" s="73"/>
      <c r="I19" s="9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4" ht="36" customHeight="1">
      <c r="A20" s="1"/>
      <c r="B20" s="10"/>
      <c r="C20" s="59"/>
      <c r="D20" s="60"/>
      <c r="E20" s="60"/>
      <c r="F20" s="60"/>
      <c r="G20" s="60"/>
      <c r="H20" s="6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4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4" ht="33" customHeight="1">
      <c r="A22" s="1"/>
      <c r="B22" s="11" t="s">
        <v>17</v>
      </c>
      <c r="C22" s="12"/>
      <c r="D22" s="12"/>
      <c r="E22" s="12"/>
      <c r="F22" s="12"/>
      <c r="G22" s="12"/>
      <c r="H22" s="12"/>
      <c r="I22" s="12"/>
      <c r="J22" s="12"/>
      <c r="K22" s="13" t="s">
        <v>18</v>
      </c>
      <c r="L22" s="8" t="s">
        <v>19</v>
      </c>
      <c r="M22" s="8" t="s">
        <v>20</v>
      </c>
      <c r="N22" s="23" t="s">
        <v>21</v>
      </c>
      <c r="O22" s="23"/>
      <c r="P22" s="8" t="s">
        <v>22</v>
      </c>
      <c r="Q22" s="23" t="s">
        <v>23</v>
      </c>
      <c r="R22" s="23"/>
      <c r="S22" s="1"/>
      <c r="T22" s="1"/>
      <c r="U22" s="1"/>
    </row>
    <row r="23" spans="1:24" ht="33" customHeight="1">
      <c r="A23" s="1"/>
      <c r="B23" s="45" t="s">
        <v>24</v>
      </c>
      <c r="C23" s="46"/>
      <c r="D23" s="46"/>
      <c r="E23" s="46"/>
      <c r="F23" s="46"/>
      <c r="G23" s="46"/>
      <c r="H23" s="46"/>
      <c r="I23" s="46"/>
      <c r="J23" s="47"/>
      <c r="K23" s="14"/>
      <c r="L23" s="15">
        <v>1</v>
      </c>
      <c r="M23" s="16" t="s">
        <v>25</v>
      </c>
      <c r="N23" s="36">
        <v>18182</v>
      </c>
      <c r="O23" s="36"/>
      <c r="P23" s="17" cm="1">
        <f t="array" ref="P23">_xlfn.IFS(B23="", "", K23="", 10%, K23="※", 8%)</f>
        <v>0.1</v>
      </c>
      <c r="Q23" s="40">
        <f>IF(N23="", "", L23*N23)</f>
        <v>18182</v>
      </c>
      <c r="R23" s="41"/>
      <c r="S23" s="1"/>
      <c r="T23" s="1"/>
      <c r="U23" s="1"/>
    </row>
    <row r="24" spans="1:24" ht="33" customHeight="1">
      <c r="A24" s="1"/>
      <c r="B24" s="42"/>
      <c r="C24" s="43"/>
      <c r="D24" s="43"/>
      <c r="E24" s="43"/>
      <c r="F24" s="43"/>
      <c r="G24" s="43"/>
      <c r="H24" s="43"/>
      <c r="I24" s="43"/>
      <c r="J24" s="44"/>
      <c r="K24" s="14"/>
      <c r="L24" s="15"/>
      <c r="M24" s="16"/>
      <c r="N24" s="36"/>
      <c r="O24" s="36"/>
      <c r="P24" s="17"/>
      <c r="Q24" s="40"/>
      <c r="R24" s="41"/>
      <c r="S24" s="1"/>
      <c r="T24" s="1"/>
      <c r="U24" s="1"/>
    </row>
    <row r="25" spans="1:24" ht="33" customHeight="1">
      <c r="A25" s="1"/>
      <c r="B25" s="42"/>
      <c r="C25" s="43"/>
      <c r="D25" s="43"/>
      <c r="E25" s="43"/>
      <c r="F25" s="43"/>
      <c r="G25" s="43"/>
      <c r="H25" s="43"/>
      <c r="I25" s="43"/>
      <c r="J25" s="44"/>
      <c r="K25" s="14"/>
      <c r="L25" s="15"/>
      <c r="M25" s="16"/>
      <c r="N25" s="36"/>
      <c r="O25" s="36"/>
      <c r="P25" s="17" t="str" cm="1">
        <f t="array" ref="P25">_xlfn.IFS(B25="", "", K25="", 10%, K25="※", 8%)</f>
        <v/>
      </c>
      <c r="Q25" s="40" t="str">
        <f t="shared" ref="Q25:Q32" si="0">IF(N25="", "", L25*N25)</f>
        <v/>
      </c>
      <c r="R25" s="41"/>
      <c r="S25" s="1"/>
      <c r="T25" s="1"/>
      <c r="U25" s="1"/>
    </row>
    <row r="26" spans="1:24" ht="33" customHeight="1">
      <c r="A26" s="1"/>
      <c r="B26" s="33"/>
      <c r="C26" s="34"/>
      <c r="D26" s="34"/>
      <c r="E26" s="34"/>
      <c r="F26" s="34"/>
      <c r="G26" s="34"/>
      <c r="H26" s="34"/>
      <c r="I26" s="34"/>
      <c r="J26" s="35"/>
      <c r="K26" s="14"/>
      <c r="L26" s="15"/>
      <c r="M26" s="16"/>
      <c r="N26" s="36"/>
      <c r="O26" s="36"/>
      <c r="P26" s="17" t="str" cm="1">
        <f t="array" ref="P26">_xlfn.IFS(D26="", "", K26="", 10%, K26="※", 8%)</f>
        <v/>
      </c>
      <c r="Q26" s="40" t="str">
        <f t="shared" si="0"/>
        <v/>
      </c>
      <c r="R26" s="41"/>
      <c r="S26" s="1"/>
      <c r="T26" s="1"/>
      <c r="U26" s="1"/>
    </row>
    <row r="27" spans="1:24" ht="33" customHeight="1">
      <c r="A27" s="1"/>
      <c r="B27" s="33"/>
      <c r="C27" s="34"/>
      <c r="D27" s="34"/>
      <c r="E27" s="34"/>
      <c r="F27" s="34"/>
      <c r="G27" s="34"/>
      <c r="H27" s="34"/>
      <c r="I27" s="34"/>
      <c r="J27" s="35"/>
      <c r="K27" s="14"/>
      <c r="L27" s="15"/>
      <c r="M27" s="16"/>
      <c r="N27" s="36"/>
      <c r="O27" s="36"/>
      <c r="P27" s="17" t="str" cm="1">
        <f t="array" ref="P27">_xlfn.IFS(D27="", "", K27="", 10%, K27="※", 8%)</f>
        <v/>
      </c>
      <c r="Q27" s="40" t="str">
        <f t="shared" si="0"/>
        <v/>
      </c>
      <c r="R27" s="41"/>
      <c r="S27" s="1"/>
      <c r="T27" s="1"/>
      <c r="U27" s="1"/>
    </row>
    <row r="28" spans="1:24" ht="33" customHeight="1">
      <c r="A28" s="1"/>
      <c r="B28" s="33"/>
      <c r="C28" s="34"/>
      <c r="D28" s="34"/>
      <c r="E28" s="34"/>
      <c r="F28" s="34"/>
      <c r="G28" s="34"/>
      <c r="H28" s="34"/>
      <c r="I28" s="34"/>
      <c r="J28" s="35"/>
      <c r="K28" s="14"/>
      <c r="L28" s="15"/>
      <c r="M28" s="16"/>
      <c r="N28" s="36"/>
      <c r="O28" s="36"/>
      <c r="P28" s="17" t="str" cm="1">
        <f t="array" ref="P28">_xlfn.IFS(D28="", "", K28="", 10%, K28="※", 8%)</f>
        <v/>
      </c>
      <c r="Q28" s="40" t="str">
        <f t="shared" si="0"/>
        <v/>
      </c>
      <c r="R28" s="41"/>
      <c r="S28" s="1"/>
      <c r="T28" s="1"/>
      <c r="U28" s="1"/>
    </row>
    <row r="29" spans="1:24" ht="33" customHeight="1">
      <c r="A29" s="1"/>
      <c r="B29" s="33"/>
      <c r="C29" s="34"/>
      <c r="D29" s="34"/>
      <c r="E29" s="34"/>
      <c r="F29" s="34"/>
      <c r="G29" s="34"/>
      <c r="H29" s="34"/>
      <c r="I29" s="34"/>
      <c r="J29" s="35"/>
      <c r="K29" s="14"/>
      <c r="L29" s="15"/>
      <c r="M29" s="16"/>
      <c r="N29" s="36"/>
      <c r="O29" s="36"/>
      <c r="P29" s="17" t="str" cm="1">
        <f t="array" ref="P29">_xlfn.IFS(D29="", "", K29="", 10%, K29="※", 8%)</f>
        <v/>
      </c>
      <c r="Q29" s="40" t="str">
        <f t="shared" si="0"/>
        <v/>
      </c>
      <c r="R29" s="41"/>
      <c r="S29" s="1"/>
      <c r="T29" s="1"/>
      <c r="U29" s="1"/>
    </row>
    <row r="30" spans="1:24" ht="33" customHeight="1">
      <c r="A30" s="1"/>
      <c r="B30" s="33"/>
      <c r="C30" s="34"/>
      <c r="D30" s="34"/>
      <c r="E30" s="34"/>
      <c r="F30" s="34"/>
      <c r="G30" s="34"/>
      <c r="H30" s="34"/>
      <c r="I30" s="34"/>
      <c r="J30" s="35"/>
      <c r="K30" s="14"/>
      <c r="L30" s="15"/>
      <c r="M30" s="16"/>
      <c r="N30" s="36"/>
      <c r="O30" s="36"/>
      <c r="P30" s="17" t="str" cm="1">
        <f t="array" ref="P30">_xlfn.IFS(D30="", "", K30="", 10%, K30="※", 8%)</f>
        <v/>
      </c>
      <c r="Q30" s="40" t="str">
        <f t="shared" si="0"/>
        <v/>
      </c>
      <c r="R30" s="41"/>
      <c r="S30" s="1"/>
      <c r="T30" s="1"/>
      <c r="U30" s="1"/>
    </row>
    <row r="31" spans="1:24" ht="33" customHeight="1">
      <c r="A31" s="1"/>
      <c r="B31" s="33"/>
      <c r="C31" s="34"/>
      <c r="D31" s="34"/>
      <c r="E31" s="34"/>
      <c r="F31" s="34"/>
      <c r="G31" s="34"/>
      <c r="H31" s="34"/>
      <c r="I31" s="34"/>
      <c r="J31" s="35"/>
      <c r="K31" s="14"/>
      <c r="L31" s="15"/>
      <c r="M31" s="16"/>
      <c r="N31" s="36"/>
      <c r="O31" s="36"/>
      <c r="P31" s="17" t="str" cm="1">
        <f t="array" ref="P31">_xlfn.IFS(D31="", "", K31="", 10%, K31="※", 8%)</f>
        <v/>
      </c>
      <c r="Q31" s="40" t="str">
        <f t="shared" si="0"/>
        <v/>
      </c>
      <c r="R31" s="41"/>
      <c r="S31" s="1"/>
      <c r="T31" s="1"/>
      <c r="U31" s="1"/>
    </row>
    <row r="32" spans="1:24" ht="33" customHeight="1">
      <c r="A32" s="1"/>
      <c r="B32" s="33"/>
      <c r="C32" s="34"/>
      <c r="D32" s="34"/>
      <c r="E32" s="34"/>
      <c r="F32" s="34"/>
      <c r="G32" s="34"/>
      <c r="H32" s="34"/>
      <c r="I32" s="34"/>
      <c r="J32" s="35"/>
      <c r="K32" s="14"/>
      <c r="L32" s="15"/>
      <c r="M32" s="16"/>
      <c r="N32" s="36"/>
      <c r="O32" s="36"/>
      <c r="P32" s="17" t="str" cm="1">
        <f t="array" ref="P32">_xlfn.IFS(D32="", "", K32="", 10%, K32="※", 8%)</f>
        <v/>
      </c>
      <c r="Q32" s="37" t="str">
        <f t="shared" si="0"/>
        <v/>
      </c>
      <c r="R32" s="37"/>
      <c r="S32" s="1"/>
      <c r="T32" s="1"/>
      <c r="U32" s="1"/>
    </row>
    <row r="33" spans="1:21" ht="33" customHeight="1">
      <c r="A33" s="1"/>
      <c r="B33" s="6" t="s">
        <v>26</v>
      </c>
      <c r="C33" s="6"/>
      <c r="D33" s="6"/>
      <c r="E33" s="6"/>
      <c r="F33" s="6"/>
      <c r="G33" s="6"/>
      <c r="H33" s="6"/>
      <c r="I33" s="6"/>
      <c r="J33" s="6"/>
      <c r="K33" s="6"/>
      <c r="L33" s="1"/>
      <c r="M33" s="6"/>
      <c r="N33" s="6"/>
      <c r="O33" s="29" t="s">
        <v>27</v>
      </c>
      <c r="P33" s="30"/>
      <c r="Q33" s="31">
        <f>SUM(F35:G36)</f>
        <v>18182</v>
      </c>
      <c r="R33" s="32"/>
      <c r="S33" s="1"/>
      <c r="T33" s="1"/>
      <c r="U33" s="1"/>
    </row>
    <row r="34" spans="1:21" ht="33" customHeight="1">
      <c r="A34" s="1"/>
      <c r="B34" s="23" t="s">
        <v>28</v>
      </c>
      <c r="C34" s="23"/>
      <c r="D34" s="23" t="s">
        <v>29</v>
      </c>
      <c r="E34" s="23"/>
      <c r="F34" s="38" t="s">
        <v>23</v>
      </c>
      <c r="G34" s="39"/>
      <c r="H34" s="6"/>
      <c r="I34" s="6"/>
      <c r="J34" s="6"/>
      <c r="K34" s="6"/>
      <c r="L34" s="6"/>
      <c r="M34" s="6"/>
      <c r="N34" s="18"/>
      <c r="O34" s="29" t="s">
        <v>30</v>
      </c>
      <c r="P34" s="30"/>
      <c r="Q34" s="27">
        <f>SUM(D35:E36)</f>
        <v>1818.2</v>
      </c>
      <c r="R34" s="28"/>
      <c r="S34" s="1"/>
      <c r="T34" s="1"/>
      <c r="U34" s="1"/>
    </row>
    <row r="35" spans="1:21" ht="33" customHeight="1">
      <c r="A35" s="1"/>
      <c r="B35" s="25" t="s">
        <v>31</v>
      </c>
      <c r="C35" s="25"/>
      <c r="D35" s="26">
        <f>ROUND(F35*10%,1)</f>
        <v>1818.2</v>
      </c>
      <c r="E35" s="26"/>
      <c r="F35" s="27">
        <f>SUMIF(P23:P32, 10%, Q23:R32)</f>
        <v>18182</v>
      </c>
      <c r="G35" s="28"/>
      <c r="H35" s="6"/>
      <c r="I35" s="6"/>
      <c r="J35" s="6"/>
      <c r="K35" s="6"/>
      <c r="L35" s="6"/>
      <c r="M35" s="6"/>
      <c r="N35" s="18"/>
      <c r="O35" s="29" t="s">
        <v>32</v>
      </c>
      <c r="P35" s="30"/>
      <c r="Q35" s="31">
        <f>SUM(Q33:R34)</f>
        <v>20000.2</v>
      </c>
      <c r="R35" s="32"/>
      <c r="S35" s="1"/>
      <c r="T35" s="1"/>
      <c r="U35" s="1"/>
    </row>
    <row r="36" spans="1:21" ht="33" customHeight="1">
      <c r="A36" s="1"/>
      <c r="B36" s="25" t="s">
        <v>33</v>
      </c>
      <c r="C36" s="25"/>
      <c r="D36" s="26">
        <f>ROUND(F36*8%,1)</f>
        <v>0</v>
      </c>
      <c r="E36" s="26"/>
      <c r="F36" s="27">
        <f>SUMIF(P23:P32, 8%, Q23:R32)</f>
        <v>0</v>
      </c>
      <c r="G36" s="28"/>
      <c r="H36" s="6"/>
      <c r="I36" s="6"/>
      <c r="J36" s="6"/>
      <c r="K36" s="6"/>
      <c r="L36" s="6"/>
      <c r="M36" s="6"/>
      <c r="N36" s="18"/>
      <c r="O36" s="18"/>
      <c r="P36" s="19"/>
      <c r="Q36" s="19"/>
      <c r="R36" s="19"/>
      <c r="S36" s="1"/>
      <c r="T36" s="1"/>
      <c r="U36" s="1"/>
    </row>
    <row r="37" spans="1:21" ht="33" customHeight="1">
      <c r="A37" s="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8"/>
      <c r="O37" s="18"/>
      <c r="P37" s="18"/>
      <c r="Q37" s="18"/>
      <c r="R37" s="18"/>
      <c r="S37" s="1"/>
      <c r="T37" s="1"/>
      <c r="U37" s="1"/>
    </row>
    <row r="38" spans="1:21" ht="1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33" customHeight="1">
      <c r="A39" s="1"/>
      <c r="B39" s="23" t="s">
        <v>34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"/>
      <c r="T39" s="1"/>
      <c r="U39" s="1"/>
    </row>
    <row r="40" spans="1:21" ht="33" customHeight="1">
      <c r="A40" s="1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1"/>
      <c r="T40" s="1"/>
      <c r="U40" s="1"/>
    </row>
    <row r="41" spans="1:21" ht="33" customHeight="1">
      <c r="A41" s="1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1"/>
      <c r="T41" s="1"/>
      <c r="U41" s="1"/>
    </row>
    <row r="42" spans="1:21" ht="33" customHeight="1">
      <c r="A42" s="1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1"/>
      <c r="T42" s="1"/>
      <c r="U42" s="1"/>
    </row>
    <row r="43" spans="1:21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3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3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33" customHeight="1"/>
    <row r="47" spans="1:21" ht="33" customHeight="1"/>
    <row r="48" spans="1:21" ht="33" customHeight="1"/>
    <row r="49" ht="33" customHeight="1"/>
    <row r="50" ht="33" customHeight="1"/>
    <row r="51" ht="33" customHeight="1"/>
    <row r="52" ht="33" customHeight="1"/>
    <row r="53" ht="33" customHeight="1"/>
    <row r="54" ht="33" customHeight="1"/>
    <row r="55" ht="33" customHeight="1"/>
    <row r="56" ht="33" customHeight="1"/>
    <row r="57" ht="33" customHeight="1"/>
    <row r="58" ht="33" customHeight="1"/>
    <row r="59" ht="33" customHeight="1"/>
    <row r="60" ht="17" customHeight="1"/>
    <row r="61" ht="17" customHeight="1"/>
    <row r="62" ht="17" customHeight="1"/>
    <row r="63" ht="17" customHeight="1"/>
    <row r="64" ht="17" customHeight="1"/>
  </sheetData>
  <sheetProtection formatCells="0" formatColumns="0" formatRows="0"/>
  <mergeCells count="73">
    <mergeCell ref="B6:K6"/>
    <mergeCell ref="N6:O6"/>
    <mergeCell ref="P6:R6"/>
    <mergeCell ref="B2:R2"/>
    <mergeCell ref="N4:O4"/>
    <mergeCell ref="P4:R4"/>
    <mergeCell ref="N5:O5"/>
    <mergeCell ref="P5:R5"/>
    <mergeCell ref="B7:J7"/>
    <mergeCell ref="B8:J8"/>
    <mergeCell ref="C11:H11"/>
    <mergeCell ref="M8:R8"/>
    <mergeCell ref="B9:J9"/>
    <mergeCell ref="B10:J10"/>
    <mergeCell ref="M10:R10"/>
    <mergeCell ref="N11:R11"/>
    <mergeCell ref="N12:R12"/>
    <mergeCell ref="B13:J13"/>
    <mergeCell ref="B14:J15"/>
    <mergeCell ref="C20:H20"/>
    <mergeCell ref="B17:B19"/>
    <mergeCell ref="C17:H17"/>
    <mergeCell ref="C18:H18"/>
    <mergeCell ref="C19:H19"/>
    <mergeCell ref="N22:O22"/>
    <mergeCell ref="Q22:R22"/>
    <mergeCell ref="B23:J23"/>
    <mergeCell ref="N23:O23"/>
    <mergeCell ref="Q23:R23"/>
    <mergeCell ref="B24:J24"/>
    <mergeCell ref="N24:O24"/>
    <mergeCell ref="Q24:R24"/>
    <mergeCell ref="B25:J25"/>
    <mergeCell ref="N25:O25"/>
    <mergeCell ref="Q25:R25"/>
    <mergeCell ref="B26:J26"/>
    <mergeCell ref="N26:O26"/>
    <mergeCell ref="Q26:R26"/>
    <mergeCell ref="B27:J27"/>
    <mergeCell ref="N27:O27"/>
    <mergeCell ref="Q27:R27"/>
    <mergeCell ref="B28:J28"/>
    <mergeCell ref="N28:O28"/>
    <mergeCell ref="Q28:R28"/>
    <mergeCell ref="B29:J29"/>
    <mergeCell ref="N29:O29"/>
    <mergeCell ref="Q29:R29"/>
    <mergeCell ref="B30:J30"/>
    <mergeCell ref="N30:O30"/>
    <mergeCell ref="Q30:R30"/>
    <mergeCell ref="B31:J31"/>
    <mergeCell ref="N31:O31"/>
    <mergeCell ref="Q31:R31"/>
    <mergeCell ref="B34:C34"/>
    <mergeCell ref="D34:E34"/>
    <mergeCell ref="F34:G34"/>
    <mergeCell ref="O34:P34"/>
    <mergeCell ref="Q34:R34"/>
    <mergeCell ref="B32:J32"/>
    <mergeCell ref="N32:O32"/>
    <mergeCell ref="Q32:R32"/>
    <mergeCell ref="O33:P33"/>
    <mergeCell ref="Q33:R33"/>
    <mergeCell ref="B39:R39"/>
    <mergeCell ref="B40:R42"/>
    <mergeCell ref="B35:C35"/>
    <mergeCell ref="D35:E35"/>
    <mergeCell ref="F35:G35"/>
    <mergeCell ref="O35:P35"/>
    <mergeCell ref="Q35:R35"/>
    <mergeCell ref="B36:C36"/>
    <mergeCell ref="D36:E36"/>
    <mergeCell ref="F36:G36"/>
  </mergeCells>
  <phoneticPr fontId="3"/>
  <dataValidations count="2">
    <dataValidation type="date" operator="greaterThanOrEqual" allowBlank="1" showErrorMessage="1" errorTitle="日付の入力エラー" error="正しい日付を入力してください。" promptTitle="発行日" prompt="領収書の発行日を入力してください。" sqref="P4:R4" xr:uid="{1F33A964-DE46-4246-888D-019B2CB933E0}">
      <formula1>1</formula1>
    </dataValidation>
    <dataValidation type="list" allowBlank="1" showInputMessage="1" showErrorMessage="1" sqref="K23:K32" xr:uid="{DDBF75A6-3076-0C49-B611-5E0D8ED2F912}">
      <formula1>"※"</formula1>
    </dataValidation>
  </dataValidations>
  <pageMargins left="0.7" right="0.7" top="0.75" bottom="0.75" header="0.3" footer="0.3"/>
  <pageSetup paperSize="9" scale="5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圭一 太田</dc:creator>
  <cp:lastModifiedBy>圭一 太田</cp:lastModifiedBy>
  <dcterms:created xsi:type="dcterms:W3CDTF">2025-04-21T01:52:53Z</dcterms:created>
  <dcterms:modified xsi:type="dcterms:W3CDTF">2026-04-03T02:18:47Z</dcterms:modified>
</cp:coreProperties>
</file>