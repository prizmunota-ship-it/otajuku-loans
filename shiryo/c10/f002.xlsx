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100．過去データ/10.マイル/"/>
    </mc:Choice>
  </mc:AlternateContent>
  <xr:revisionPtr revIDLastSave="0" documentId="13_ncr:1_{6F998B43-EB9B-CB46-A79A-E434476E8622}" xr6:coauthVersionLast="47" xr6:coauthVersionMax="47" xr10:uidLastSave="{00000000-0000-0000-0000-000000000000}"/>
  <bookViews>
    <workbookView xWindow="0" yWindow="500" windowWidth="33600" windowHeight="19500" xr2:uid="{9296BA28-C619-4259-8C7D-C1696A59AD43}"/>
  </bookViews>
  <sheets>
    <sheet name="2021年修行状況" sheetId="5" r:id="rId1"/>
    <sheet name="Sheet1" sheetId="4" r:id="rId2"/>
    <sheet name="2021年" sheetId="3" r:id="rId3"/>
    <sheet name="参考データ" sheetId="1" r:id="rId4"/>
    <sheet name="渡航歴" sheetId="2" r:id="rId5"/>
  </sheets>
  <definedNames>
    <definedName name="_xlnm.Print_Area" localSheetId="0">'2021年修行状況'!$A$1:$K$23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5" l="1"/>
  <c r="K21" i="5"/>
  <c r="J21" i="5"/>
  <c r="G21" i="5"/>
  <c r="I15" i="5"/>
  <c r="H15" i="5"/>
  <c r="I16" i="5"/>
  <c r="H16" i="5"/>
  <c r="H18" i="5"/>
  <c r="I18" i="5" s="1"/>
  <c r="H19" i="5"/>
  <c r="I19" i="5" s="1"/>
  <c r="H36" i="5"/>
  <c r="I36" i="5"/>
  <c r="I35" i="5"/>
  <c r="I34" i="5"/>
  <c r="H35" i="5"/>
  <c r="H34" i="5"/>
  <c r="H20" i="5"/>
  <c r="H17" i="5"/>
  <c r="H21" i="5" s="1"/>
  <c r="I14" i="5"/>
  <c r="I13" i="5"/>
  <c r="I12" i="5"/>
  <c r="I11" i="5"/>
  <c r="I10" i="5"/>
  <c r="I17" i="5"/>
  <c r="I9" i="5"/>
  <c r="I8" i="5"/>
  <c r="I7" i="5"/>
  <c r="I6" i="5"/>
  <c r="I5" i="5"/>
  <c r="I4" i="5"/>
  <c r="I3" i="5"/>
  <c r="AC36" i="5"/>
  <c r="AA36" i="5"/>
  <c r="Z36" i="5"/>
  <c r="W36" i="5"/>
  <c r="AB32" i="5"/>
  <c r="T32" i="5"/>
  <c r="R32" i="5"/>
  <c r="Q32" i="5"/>
  <c r="N32" i="5"/>
  <c r="AB31" i="5"/>
  <c r="S29" i="5"/>
  <c r="S28" i="5"/>
  <c r="S27" i="5"/>
  <c r="AC16" i="5"/>
  <c r="AA16" i="5"/>
  <c r="Z16" i="5"/>
  <c r="W16" i="5"/>
  <c r="R16" i="5"/>
  <c r="Q16" i="5"/>
  <c r="N16" i="5"/>
  <c r="AB14" i="5"/>
  <c r="AB13" i="5"/>
  <c r="S13" i="5"/>
  <c r="AB12" i="5"/>
  <c r="T16" i="5" s="1"/>
  <c r="S12" i="5"/>
  <c r="AB11" i="5"/>
  <c r="S11" i="5"/>
  <c r="P20" i="4"/>
  <c r="N36" i="4"/>
  <c r="O36" i="4"/>
  <c r="P18" i="4" s="1"/>
  <c r="P21" i="4" s="1"/>
  <c r="F32" i="4"/>
  <c r="P31" i="4"/>
  <c r="Q36" i="4"/>
  <c r="P19" i="4" s="1"/>
  <c r="K36" i="4"/>
  <c r="P32" i="4"/>
  <c r="H32" i="4"/>
  <c r="E32" i="4"/>
  <c r="G32" i="4"/>
  <c r="B32" i="4"/>
  <c r="G29" i="4"/>
  <c r="G28" i="4"/>
  <c r="G27" i="4"/>
  <c r="P13" i="4"/>
  <c r="P11" i="4"/>
  <c r="Q16" i="4"/>
  <c r="O16" i="4"/>
  <c r="N16" i="4"/>
  <c r="K16" i="4"/>
  <c r="H16" i="4"/>
  <c r="F16" i="4"/>
  <c r="E16" i="4"/>
  <c r="B16" i="4"/>
  <c r="P14" i="4"/>
  <c r="G13" i="4"/>
  <c r="P12" i="4"/>
  <c r="G12" i="4"/>
  <c r="G11" i="4"/>
  <c r="O34" i="3"/>
  <c r="O35" i="3"/>
  <c r="Q32" i="3"/>
  <c r="O32" i="3"/>
  <c r="N32" i="3"/>
  <c r="P32" i="3" s="1"/>
  <c r="K32" i="3"/>
  <c r="P30" i="3"/>
  <c r="P29" i="3"/>
  <c r="P28" i="3"/>
  <c r="P27" i="3"/>
  <c r="T33" i="3"/>
  <c r="W33" i="3"/>
  <c r="X33" i="3"/>
  <c r="Y33" i="3" s="1"/>
  <c r="Z33" i="3"/>
  <c r="Y27" i="3"/>
  <c r="I32" i="3"/>
  <c r="Y31" i="3"/>
  <c r="Y30" i="3"/>
  <c r="Y29" i="3"/>
  <c r="Y28" i="3"/>
  <c r="G32" i="3"/>
  <c r="F32" i="3"/>
  <c r="C32" i="3"/>
  <c r="H29" i="3"/>
  <c r="H28" i="3"/>
  <c r="H27" i="3"/>
  <c r="I21" i="5" l="1"/>
  <c r="I20" i="5"/>
  <c r="AB36" i="5"/>
  <c r="AB20" i="5"/>
  <c r="AB18" i="5"/>
  <c r="AB19" i="5"/>
  <c r="S32" i="5"/>
  <c r="AB16" i="5"/>
  <c r="S16" i="5"/>
  <c r="P36" i="4"/>
  <c r="G16" i="4"/>
  <c r="P16" i="4"/>
  <c r="H32" i="3"/>
  <c r="F7" i="3"/>
  <c r="F5" i="1"/>
  <c r="AB21" i="5" l="1"/>
  <c r="F9" i="3"/>
  <c r="K9" i="3"/>
  <c r="F10" i="3"/>
  <c r="K10" i="3"/>
  <c r="F11" i="3"/>
  <c r="K11" i="3"/>
  <c r="F12" i="3"/>
  <c r="K12" i="3"/>
  <c r="F13" i="3"/>
  <c r="K13" i="3"/>
  <c r="F14" i="3"/>
  <c r="K14" i="3"/>
  <c r="F15" i="3"/>
  <c r="K15" i="3"/>
  <c r="F16" i="3"/>
  <c r="K16" i="3"/>
  <c r="K8" i="3"/>
  <c r="K7" i="3"/>
  <c r="K6" i="3"/>
  <c r="F8" i="3"/>
  <c r="F6" i="3"/>
  <c r="K5" i="3"/>
  <c r="F5" i="3" l="1"/>
  <c r="F6" i="1"/>
  <c r="F10" i="2" l="1"/>
  <c r="E10" i="2"/>
  <c r="B10" i="2"/>
  <c r="G57" i="1" l="1"/>
  <c r="F57" i="1"/>
  <c r="C32" i="1"/>
  <c r="C39" i="1"/>
  <c r="C46" i="1"/>
  <c r="C57" i="1"/>
  <c r="L23" i="1"/>
  <c r="K23" i="1"/>
  <c r="F23" i="1"/>
  <c r="G23" i="1"/>
  <c r="L22" i="1"/>
  <c r="K22" i="1"/>
  <c r="F22" i="1"/>
  <c r="G22" i="1"/>
  <c r="G46" i="1"/>
  <c r="G39" i="1"/>
  <c r="G32" i="1"/>
  <c r="F32" i="1"/>
  <c r="F33" i="1" s="1"/>
  <c r="F21" i="1"/>
  <c r="G21" i="1"/>
  <c r="F20" i="1"/>
  <c r="G20" i="1"/>
  <c r="K19" i="1"/>
  <c r="L19" i="1"/>
  <c r="F19" i="1"/>
  <c r="G19" i="1"/>
  <c r="K18" i="1"/>
  <c r="L18" i="1"/>
  <c r="F18" i="1"/>
  <c r="G18" i="1"/>
  <c r="L17" i="1"/>
  <c r="K17" i="1"/>
  <c r="K16" i="1"/>
  <c r="L16" i="1"/>
  <c r="F17" i="1"/>
  <c r="G17" i="1"/>
  <c r="F16" i="1"/>
  <c r="G16" i="1"/>
  <c r="G15" i="1"/>
  <c r="F15" i="1"/>
  <c r="K13" i="1"/>
  <c r="L13" i="1"/>
  <c r="K14" i="1"/>
  <c r="L14" i="1"/>
  <c r="G13" i="1"/>
  <c r="G14" i="1"/>
  <c r="F13" i="1"/>
  <c r="F14" i="1"/>
  <c r="L11" i="1"/>
  <c r="L12" i="1"/>
  <c r="L10" i="1"/>
  <c r="K10" i="1"/>
  <c r="G10" i="1"/>
  <c r="F10" i="1"/>
  <c r="L9" i="1"/>
  <c r="K9" i="1"/>
  <c r="G9" i="1"/>
  <c r="F9" i="1"/>
  <c r="T8" i="1"/>
  <c r="S8" i="1"/>
  <c r="T7" i="1"/>
  <c r="S7" i="1"/>
  <c r="T6" i="1"/>
  <c r="S6" i="1"/>
  <c r="T5" i="1"/>
  <c r="S5" i="1"/>
  <c r="T4" i="1"/>
  <c r="S4" i="1"/>
  <c r="F58" i="1" l="1"/>
  <c r="F39" i="1"/>
  <c r="F40" i="1" s="1"/>
  <c r="F46" i="1" s="1"/>
  <c r="F47" i="1" s="1"/>
  <c r="G5" i="1"/>
  <c r="L6" i="1"/>
  <c r="L7" i="1"/>
  <c r="L8" i="1"/>
  <c r="K6" i="1"/>
  <c r="K7" i="1"/>
  <c r="K8" i="1"/>
  <c r="K11" i="1"/>
  <c r="K12" i="1"/>
  <c r="G6" i="1"/>
  <c r="G11" i="1"/>
  <c r="G12" i="1"/>
  <c r="F11" i="1"/>
  <c r="F12" i="1"/>
  <c r="L5" i="1"/>
  <c r="K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E30746A7-A806-498A-9817-B6020308EF30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9" authorId="0" shapeId="0" xr:uid="{0A45808F-D5D5-4902-81B1-6FF166CC2DBF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0" authorId="0" shapeId="0" xr:uid="{1EC76F8B-BF10-4183-9B1F-3F2F937EDC9C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1" authorId="0" shapeId="0" xr:uid="{43B3E729-03CB-4891-B396-94B8BD212F0C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Z11" authorId="0" shapeId="0" xr:uid="{6374353A-3C0E-4EE8-8508-A10E69D2B217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3" authorId="0" shapeId="0" xr:uid="{E8067F1D-72AE-475A-A998-5A748765125F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4" authorId="0" shapeId="0" xr:uid="{73329804-C120-4E07-8698-2F8E7536DF47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Z14" authorId="0" shapeId="0" xr:uid="{CE5BBAB5-D9A3-43D0-BC22-B44AC64151D7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5" authorId="0" shapeId="0" xr:uid="{6F03F82F-3C00-4527-B989-FC3F4BAAE2A8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6" authorId="0" shapeId="0" xr:uid="{9E1B54C1-3DCE-48B4-9750-FF2D249DA22B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7" authorId="0" shapeId="0" xr:uid="{3277CA62-E3A0-4E8F-A7BD-01370F6F67D0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8" authorId="0" shapeId="0" xr:uid="{29E4A03E-934A-4392-B02C-BC7DFF633675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19" authorId="0" shapeId="0" xr:uid="{F990EE41-0669-4E28-802E-6372CD223D9C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G20" authorId="0" shapeId="0" xr:uid="{FC9996A7-6301-41F7-B92F-D8BD5DD1F100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Q27" authorId="0" shapeId="0" xr:uid="{FCC20617-0B45-4ADD-8B0F-BC49E34926F5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Q28" authorId="0" shapeId="0" xr:uid="{DBBEAD25-B8ED-414B-9354-47978A0C077D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Z31" authorId="0" shapeId="0" xr:uid="{8925B061-06F1-4EE5-BCA4-3ECB20321F67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Z32" authorId="0" shapeId="0" xr:uid="{D8BE136C-0CBB-4D56-9B55-C387C7556CDA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11" authorId="0" shapeId="0" xr:uid="{2193065C-C1A3-45F4-9285-8D75EE63C996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N14" authorId="0" shapeId="0" xr:uid="{C56F188E-0751-482A-B165-8334A60E47F0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E27" authorId="0" shapeId="0" xr:uid="{245D315F-42D6-4CA1-9BEE-D5281CE69167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E28" authorId="0" shapeId="0" xr:uid="{58B6D36E-7458-4262-B6CF-A09C24338CAF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N31" authorId="0" shapeId="0" xr:uid="{EE5D28B1-EDB8-44B3-9128-6D57D3B1CDEE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N32" authorId="0" shapeId="0" xr:uid="{CDABB2AA-FDAB-4B53-A265-27B998B1E29E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27" authorId="0" shapeId="0" xr:uid="{58665846-178B-4A43-AC69-45E7D5309914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W28" authorId="0" shapeId="0" xr:uid="{1F0E15D6-9734-48A5-9F52-E473090129DB}">
      <text>
        <r>
          <rPr>
            <b/>
            <sz val="9"/>
            <color indexed="81"/>
            <rFont val="MS P ゴシック"/>
            <family val="3"/>
            <charset val="128"/>
          </rPr>
          <t>株主優待券（1,200円）</t>
        </r>
      </text>
    </comment>
    <comment ref="N30" authorId="0" shapeId="0" xr:uid="{58C08AFF-DB91-4DDF-92C8-D6B7573E89F2}">
      <text>
        <r>
          <rPr>
            <b/>
            <sz val="9"/>
            <color indexed="81"/>
            <rFont val="MS P ゴシック"/>
            <family val="3"/>
            <charset val="128"/>
          </rPr>
          <t>株主優待券</t>
        </r>
      </text>
    </comment>
    <comment ref="W31" authorId="0" shapeId="0" xr:uid="{A8732223-28B6-4EDB-860C-6F3C44B5637D}">
      <text>
        <r>
          <rPr>
            <b/>
            <sz val="9"/>
            <color indexed="81"/>
            <rFont val="MS P ゴシック"/>
            <family val="3"/>
            <charset val="128"/>
          </rPr>
          <t>株主優待券（1,200）</t>
        </r>
      </text>
    </comment>
  </commentList>
</comments>
</file>

<file path=xl/sharedStrings.xml><?xml version="1.0" encoding="utf-8"?>
<sst xmlns="http://schemas.openxmlformats.org/spreadsheetml/2006/main" count="785" uniqueCount="104">
  <si>
    <t>出発地</t>
    <rPh sb="0" eb="3">
      <t>シュッパツチ</t>
    </rPh>
    <phoneticPr fontId="2"/>
  </si>
  <si>
    <t>到着地</t>
    <rPh sb="0" eb="2">
      <t>トウチャク</t>
    </rPh>
    <rPh sb="2" eb="3">
      <t>チ</t>
    </rPh>
    <phoneticPr fontId="2"/>
  </si>
  <si>
    <t>費用</t>
    <rPh sb="0" eb="2">
      <t>ヒヨウ</t>
    </rPh>
    <phoneticPr fontId="2"/>
  </si>
  <si>
    <t>PP</t>
    <phoneticPr fontId="2"/>
  </si>
  <si>
    <t>円/PP</t>
    <rPh sb="0" eb="1">
      <t>エン</t>
    </rPh>
    <phoneticPr fontId="2"/>
  </si>
  <si>
    <t>福岡</t>
    <rPh sb="0" eb="2">
      <t>フクオカ</t>
    </rPh>
    <phoneticPr fontId="2"/>
  </si>
  <si>
    <t>沖縄</t>
    <rPh sb="0" eb="2">
      <t>オキナワ</t>
    </rPh>
    <phoneticPr fontId="2"/>
  </si>
  <si>
    <t>２倍</t>
    <rPh sb="1" eb="2">
      <t>バイ</t>
    </rPh>
    <phoneticPr fontId="2"/>
  </si>
  <si>
    <t>羽田</t>
    <rPh sb="0" eb="2">
      <t>ハネダ</t>
    </rPh>
    <phoneticPr fontId="2"/>
  </si>
  <si>
    <t>プレエコ</t>
    <phoneticPr fontId="2"/>
  </si>
  <si>
    <t>プレミア</t>
    <phoneticPr fontId="2"/>
  </si>
  <si>
    <t>SVP28</t>
    <phoneticPr fontId="2"/>
  </si>
  <si>
    <t>P運賃</t>
    <rPh sb="1" eb="3">
      <t>ウンチン</t>
    </rPh>
    <phoneticPr fontId="2"/>
  </si>
  <si>
    <t>普通席</t>
    <rPh sb="0" eb="2">
      <t>フツウ</t>
    </rPh>
    <rPh sb="2" eb="3">
      <t>セキ</t>
    </rPh>
    <phoneticPr fontId="2"/>
  </si>
  <si>
    <t>SV45</t>
    <phoneticPr fontId="2"/>
  </si>
  <si>
    <t>バリュー</t>
    <phoneticPr fontId="2"/>
  </si>
  <si>
    <t>フレックス</t>
    <phoneticPr fontId="2"/>
  </si>
  <si>
    <t>5月15日（金）朝一</t>
    <rPh sb="1" eb="2">
      <t>ツキ</t>
    </rPh>
    <rPh sb="4" eb="5">
      <t>ニチ</t>
    </rPh>
    <rPh sb="6" eb="7">
      <t>キン</t>
    </rPh>
    <rPh sb="8" eb="10">
      <t>アサイチ</t>
    </rPh>
    <phoneticPr fontId="2"/>
  </si>
  <si>
    <t>プレエコ（ｽｰﾊﾟｰﾊﾞﾘｭｰﾌﾟﾚﾐｱﾑ28）</t>
    <phoneticPr fontId="2"/>
  </si>
  <si>
    <t>エコノミー（ｽｰﾊﾟｰﾊﾞﾘｭｰ45）</t>
    <phoneticPr fontId="2"/>
  </si>
  <si>
    <t>札幌</t>
    <rPh sb="0" eb="2">
      <t>サッポロ</t>
    </rPh>
    <phoneticPr fontId="2"/>
  </si>
  <si>
    <t>-</t>
    <phoneticPr fontId="2"/>
  </si>
  <si>
    <t>備考</t>
    <rPh sb="0" eb="2">
      <t>ビコウ</t>
    </rPh>
    <phoneticPr fontId="2"/>
  </si>
  <si>
    <t>ﾌﾟﾚﾐｱﾑﾋﾞｼﾞﾈｽｷｯﾌﾟ</t>
    <phoneticPr fontId="2"/>
  </si>
  <si>
    <t>ﾊﾞﾘｭｰﾌﾟﾚﾐｱﾑ3</t>
    <phoneticPr fontId="2"/>
  </si>
  <si>
    <t>6月24日、1便のみ</t>
    <rPh sb="1" eb="2">
      <t>ツキ</t>
    </rPh>
    <rPh sb="4" eb="5">
      <t>ニチ</t>
    </rPh>
    <rPh sb="7" eb="8">
      <t>ビン</t>
    </rPh>
    <phoneticPr fontId="2"/>
  </si>
  <si>
    <t>6月29日、1便のみ</t>
    <rPh sb="1" eb="2">
      <t>ツキ</t>
    </rPh>
    <rPh sb="4" eb="5">
      <t>ニチ</t>
    </rPh>
    <rPh sb="7" eb="8">
      <t>ビン</t>
    </rPh>
    <phoneticPr fontId="2"/>
  </si>
  <si>
    <t>1便のみ</t>
    <rPh sb="1" eb="2">
      <t>ビン</t>
    </rPh>
    <phoneticPr fontId="2"/>
  </si>
  <si>
    <t>→</t>
    <phoneticPr fontId="2"/>
  </si>
  <si>
    <t>合計</t>
    <rPh sb="0" eb="2">
      <t>ゴウケイ</t>
    </rPh>
    <phoneticPr fontId="2"/>
  </si>
  <si>
    <t>席</t>
    <rPh sb="0" eb="1">
      <t>セキ</t>
    </rPh>
    <phoneticPr fontId="2"/>
  </si>
  <si>
    <t>PP（2倍）</t>
    <rPh sb="4" eb="5">
      <t>バイ</t>
    </rPh>
    <phoneticPr fontId="2"/>
  </si>
  <si>
    <t>普通</t>
    <rPh sb="0" eb="2">
      <t>フツウ</t>
    </rPh>
    <phoneticPr fontId="2"/>
  </si>
  <si>
    <t>PP（２倍）</t>
    <rPh sb="4" eb="5">
      <t>バイ</t>
    </rPh>
    <phoneticPr fontId="2"/>
  </si>
  <si>
    <t>宮古</t>
    <rPh sb="0" eb="2">
      <t>ミヤコ</t>
    </rPh>
    <phoneticPr fontId="2"/>
  </si>
  <si>
    <t>ﾊﾞﾘｭｰﾄﾗﾝｼﾞｯﾄ28</t>
    <phoneticPr fontId="2"/>
  </si>
  <si>
    <t>石垣</t>
    <rPh sb="0" eb="2">
      <t>イシガキ</t>
    </rPh>
    <phoneticPr fontId="2"/>
  </si>
  <si>
    <t>5月18日2便のみ</t>
    <rPh sb="1" eb="2">
      <t>ツキ</t>
    </rPh>
    <rPh sb="4" eb="5">
      <t>ニチ</t>
    </rPh>
    <rPh sb="6" eb="7">
      <t>ビン</t>
    </rPh>
    <phoneticPr fontId="2"/>
  </si>
  <si>
    <t>沖縄　　</t>
    <rPh sb="0" eb="2">
      <t>オキナワ</t>
    </rPh>
    <phoneticPr fontId="2"/>
  </si>
  <si>
    <t>H</t>
    <phoneticPr fontId="2"/>
  </si>
  <si>
    <t>＜必須航路＞</t>
    <rPh sb="1" eb="3">
      <t>ヒッス</t>
    </rPh>
    <rPh sb="3" eb="5">
      <t>コウロ</t>
    </rPh>
    <phoneticPr fontId="2"/>
  </si>
  <si>
    <t>石垣-羽田：2,036、羽田-札幌：965　？？</t>
    <rPh sb="0" eb="2">
      <t>イシガキ</t>
    </rPh>
    <rPh sb="3" eb="5">
      <t>ハネダ</t>
    </rPh>
    <rPh sb="12" eb="14">
      <t>ハネダ</t>
    </rPh>
    <rPh sb="15" eb="17">
      <t>サッポロ</t>
    </rPh>
    <phoneticPr fontId="2"/>
  </si>
  <si>
    <t>金曜</t>
    <rPh sb="0" eb="2">
      <t>キンヨウ</t>
    </rPh>
    <phoneticPr fontId="2"/>
  </si>
  <si>
    <t>土曜</t>
    <rPh sb="0" eb="2">
      <t>ドヨウ</t>
    </rPh>
    <phoneticPr fontId="2"/>
  </si>
  <si>
    <t>宿泊</t>
    <rPh sb="0" eb="2">
      <t>シュクハク</t>
    </rPh>
    <phoneticPr fontId="2"/>
  </si>
  <si>
    <t>日曜</t>
    <rPh sb="0" eb="2">
      <t>ニチヨウ</t>
    </rPh>
    <phoneticPr fontId="2"/>
  </si>
  <si>
    <t>到着</t>
    <rPh sb="0" eb="2">
      <t>トウチャク</t>
    </rPh>
    <phoneticPr fontId="2"/>
  </si>
  <si>
    <t>マイル修行　計画</t>
    <rPh sb="3" eb="5">
      <t>シュギョウ</t>
    </rPh>
    <rPh sb="6" eb="8">
      <t>ケイカク</t>
    </rPh>
    <phoneticPr fontId="2"/>
  </si>
  <si>
    <t>１回目（令和２年５月１５日（金）～５月１７日（日））</t>
    <rPh sb="1" eb="3">
      <t>カイメ</t>
    </rPh>
    <rPh sb="4" eb="6">
      <t>レイワ</t>
    </rPh>
    <rPh sb="7" eb="8">
      <t>ネン</t>
    </rPh>
    <rPh sb="9" eb="10">
      <t>ツキ</t>
    </rPh>
    <rPh sb="12" eb="13">
      <t>ニチ</t>
    </rPh>
    <rPh sb="14" eb="15">
      <t>キン</t>
    </rPh>
    <rPh sb="18" eb="19">
      <t>ツキ</t>
    </rPh>
    <rPh sb="21" eb="22">
      <t>ニチ</t>
    </rPh>
    <rPh sb="23" eb="24">
      <t>ニチ</t>
    </rPh>
    <phoneticPr fontId="2"/>
  </si>
  <si>
    <t>普通席</t>
    <rPh sb="0" eb="3">
      <t>フツウセキ</t>
    </rPh>
    <phoneticPr fontId="2"/>
  </si>
  <si>
    <t>マイル</t>
    <phoneticPr fontId="2"/>
  </si>
  <si>
    <t>プレミアムクラス</t>
    <phoneticPr fontId="2"/>
  </si>
  <si>
    <t>沖縄</t>
    <rPh sb="0" eb="2">
      <t>オキナワ</t>
    </rPh>
    <phoneticPr fontId="2"/>
  </si>
  <si>
    <t>福岡</t>
    <rPh sb="0" eb="2">
      <t>フクオカ</t>
    </rPh>
    <phoneticPr fontId="2"/>
  </si>
  <si>
    <t>羽田</t>
    <rPh sb="0" eb="2">
      <t>ハネダ</t>
    </rPh>
    <phoneticPr fontId="2"/>
  </si>
  <si>
    <t>２０２１年１月１５日（金）朝一にて算出（ANAカードプレミアム）</t>
    <rPh sb="4" eb="5">
      <t>ネン</t>
    </rPh>
    <rPh sb="6" eb="7">
      <t>ツキ</t>
    </rPh>
    <rPh sb="9" eb="10">
      <t>ニチ</t>
    </rPh>
    <rPh sb="11" eb="12">
      <t>キン</t>
    </rPh>
    <rPh sb="13" eb="15">
      <t>アサイチ</t>
    </rPh>
    <rPh sb="17" eb="19">
      <t>サンシュツ</t>
    </rPh>
    <phoneticPr fontId="2"/>
  </si>
  <si>
    <t>中部</t>
    <rPh sb="0" eb="2">
      <t>チュウブ</t>
    </rPh>
    <phoneticPr fontId="2"/>
  </si>
  <si>
    <t>夜の便</t>
    <rPh sb="0" eb="1">
      <t>ヨル</t>
    </rPh>
    <rPh sb="2" eb="3">
      <t>ビン</t>
    </rPh>
    <phoneticPr fontId="2"/>
  </si>
  <si>
    <t>便数少ない</t>
    <rPh sb="0" eb="1">
      <t>ビン</t>
    </rPh>
    <rPh sb="1" eb="2">
      <t>カズ</t>
    </rPh>
    <rPh sb="2" eb="3">
      <t>スク</t>
    </rPh>
    <phoneticPr fontId="2"/>
  </si>
  <si>
    <t>１月１日～１２月３１日までに３万PP</t>
    <rPh sb="1" eb="2">
      <t>ツキ</t>
    </rPh>
    <rPh sb="3" eb="4">
      <t>ニチ</t>
    </rPh>
    <rPh sb="7" eb="8">
      <t>ツキ</t>
    </rPh>
    <rPh sb="10" eb="11">
      <t>ニチ</t>
    </rPh>
    <rPh sb="15" eb="16">
      <t>マン</t>
    </rPh>
    <phoneticPr fontId="2"/>
  </si>
  <si>
    <t>１２月１６日～１２月２５日までに７サービスの利用</t>
    <rPh sb="2" eb="3">
      <t>ツキ</t>
    </rPh>
    <rPh sb="5" eb="6">
      <t>ニチ</t>
    </rPh>
    <rPh sb="9" eb="10">
      <t>ツキ</t>
    </rPh>
    <rPh sb="12" eb="13">
      <t>ニチ</t>
    </rPh>
    <rPh sb="22" eb="24">
      <t>リヨウ</t>
    </rPh>
    <phoneticPr fontId="2"/>
  </si>
  <si>
    <t>１２月１６日～１２月２５日までに６００万のANAカード決済</t>
    <rPh sb="2" eb="3">
      <t>ツキ</t>
    </rPh>
    <rPh sb="5" eb="6">
      <t>ニチ</t>
    </rPh>
    <rPh sb="9" eb="10">
      <t>ツキ</t>
    </rPh>
    <rPh sb="12" eb="13">
      <t>ニチ</t>
    </rPh>
    <rPh sb="19" eb="20">
      <t>マン</t>
    </rPh>
    <rPh sb="27" eb="29">
      <t>ケッサイ</t>
    </rPh>
    <phoneticPr fontId="2"/>
  </si>
  <si>
    <t>福岡</t>
    <rPh sb="0" eb="2">
      <t>フクオカ</t>
    </rPh>
    <phoneticPr fontId="2"/>
  </si>
  <si>
    <t>石垣</t>
    <rPh sb="0" eb="2">
      <t>イシガキ</t>
    </rPh>
    <phoneticPr fontId="2"/>
  </si>
  <si>
    <t>札幌</t>
    <rPh sb="0" eb="2">
      <t>サッポロ</t>
    </rPh>
    <phoneticPr fontId="2"/>
  </si>
  <si>
    <t>１本</t>
    <rPh sb="1" eb="2">
      <t>ホン</t>
    </rPh>
    <phoneticPr fontId="2"/>
  </si>
  <si>
    <t>１本本</t>
    <rPh sb="1" eb="2">
      <t>ホン</t>
    </rPh>
    <rPh sb="2" eb="3">
      <t>ホン</t>
    </rPh>
    <phoneticPr fontId="2"/>
  </si>
  <si>
    <t>行き</t>
    <rPh sb="0" eb="1">
      <t>イ</t>
    </rPh>
    <phoneticPr fontId="2"/>
  </si>
  <si>
    <t>シャトルバス最終</t>
    <rPh sb="6" eb="8">
      <t>サイシュウ</t>
    </rPh>
    <phoneticPr fontId="2"/>
  </si>
  <si>
    <t>沖縄</t>
    <rPh sb="0" eb="2">
      <t>オキナワ</t>
    </rPh>
    <phoneticPr fontId="2"/>
  </si>
  <si>
    <t>羽田</t>
    <rPh sb="0" eb="2">
      <t>ハネダ</t>
    </rPh>
    <phoneticPr fontId="2"/>
  </si>
  <si>
    <t>中部</t>
    <rPh sb="0" eb="2">
      <t>チュウブ</t>
    </rPh>
    <phoneticPr fontId="2"/>
  </si>
  <si>
    <t>普通</t>
    <rPh sb="0" eb="2">
      <t>フツウ</t>
    </rPh>
    <phoneticPr fontId="2"/>
  </si>
  <si>
    <t>帰り</t>
    <rPh sb="0" eb="1">
      <t>カエ</t>
    </rPh>
    <phoneticPr fontId="2"/>
  </si>
  <si>
    <t>運賃３　</t>
    <rPh sb="0" eb="2">
      <t>ウンチン</t>
    </rPh>
    <phoneticPr fontId="2"/>
  </si>
  <si>
    <t>運賃２　</t>
    <rPh sb="0" eb="2">
      <t>ウンチン</t>
    </rPh>
    <phoneticPr fontId="2"/>
  </si>
  <si>
    <t>福岡</t>
    <rPh sb="0" eb="2">
      <t>フクオカ</t>
    </rPh>
    <phoneticPr fontId="2"/>
  </si>
  <si>
    <t>福岡</t>
    <rPh sb="0" eb="2">
      <t>フクオカ</t>
    </rPh>
    <phoneticPr fontId="2"/>
  </si>
  <si>
    <t>沖縄</t>
    <rPh sb="0" eb="2">
      <t>オキナワ</t>
    </rPh>
    <phoneticPr fontId="2"/>
  </si>
  <si>
    <t>羽田</t>
    <rPh sb="0" eb="2">
      <t>ハネダ</t>
    </rPh>
    <phoneticPr fontId="2"/>
  </si>
  <si>
    <t>普通</t>
    <rPh sb="0" eb="2">
      <t>フツウ</t>
    </rPh>
    <phoneticPr fontId="2"/>
  </si>
  <si>
    <t>プレミア</t>
    <phoneticPr fontId="2"/>
  </si>
  <si>
    <t>マイル</t>
    <phoneticPr fontId="2"/>
  </si>
  <si>
    <t>中部</t>
    <rPh sb="0" eb="2">
      <t>チュウブ</t>
    </rPh>
    <phoneticPr fontId="2"/>
  </si>
  <si>
    <t>普通</t>
    <rPh sb="0" eb="2">
      <t>フツウ</t>
    </rPh>
    <phoneticPr fontId="2"/>
  </si>
  <si>
    <t>PP合計</t>
    <rPh sb="2" eb="4">
      <t>ゴウケイ</t>
    </rPh>
    <phoneticPr fontId="2"/>
  </si>
  <si>
    <t>マイル合計</t>
    <rPh sb="3" eb="5">
      <t>ゴウケイ</t>
    </rPh>
    <phoneticPr fontId="2"/>
  </si>
  <si>
    <t>ボツ</t>
    <phoneticPr fontId="2"/>
  </si>
  <si>
    <t>PP（通常）</t>
    <rPh sb="3" eb="5">
      <t>ツウジョウ</t>
    </rPh>
    <phoneticPr fontId="2"/>
  </si>
  <si>
    <t>那覇</t>
    <rPh sb="0" eb="2">
      <t>ナハ</t>
    </rPh>
    <phoneticPr fontId="2"/>
  </si>
  <si>
    <t>那覇</t>
    <rPh sb="0" eb="2">
      <t>ナハ</t>
    </rPh>
    <phoneticPr fontId="2"/>
  </si>
  <si>
    <t>※内、スカイコイン２１万スカイコイン</t>
    <rPh sb="1" eb="2">
      <t>ウチ</t>
    </rPh>
    <rPh sb="11" eb="12">
      <t>マン</t>
    </rPh>
    <phoneticPr fontId="2"/>
  </si>
  <si>
    <t>通常PP</t>
    <rPh sb="0" eb="2">
      <t>ツウジョウ</t>
    </rPh>
    <phoneticPr fontId="2"/>
  </si>
  <si>
    <t>P</t>
    <phoneticPr fontId="2"/>
  </si>
  <si>
    <t>E</t>
    <phoneticPr fontId="2"/>
  </si>
  <si>
    <t>千歳</t>
    <rPh sb="0" eb="2">
      <t>チトセ</t>
    </rPh>
    <phoneticPr fontId="2"/>
  </si>
  <si>
    <t>P</t>
    <phoneticPr fontId="2"/>
  </si>
  <si>
    <t>羽田</t>
    <rPh sb="0" eb="2">
      <t>ハネダ</t>
    </rPh>
    <phoneticPr fontId="2"/>
  </si>
  <si>
    <t>那覇</t>
    <rPh sb="0" eb="2">
      <t>ナハ</t>
    </rPh>
    <phoneticPr fontId="2"/>
  </si>
  <si>
    <t>E</t>
    <phoneticPr fontId="2"/>
  </si>
  <si>
    <t>離陸</t>
    <rPh sb="0" eb="2">
      <t>リリク</t>
    </rPh>
    <phoneticPr fontId="2"/>
  </si>
  <si>
    <t>着陸</t>
    <rPh sb="0" eb="2">
      <t>チャクリク</t>
    </rPh>
    <phoneticPr fontId="2"/>
  </si>
  <si>
    <t>スカイコイン</t>
    <phoneticPr fontId="2"/>
  </si>
  <si>
    <t>実質</t>
    <rPh sb="0" eb="2">
      <t>ジッシツ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</si>
</sst>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.0_ "/>
    <numFmt numFmtId="177" formatCode="#,##0_ "/>
    <numFmt numFmtId="178" formatCode="#,##0.0_ ;[Red]\-#,##0.0\ "/>
    <numFmt numFmtId="179" formatCode="#,##0.00_ "/>
    <numFmt numFmtId="180" formatCode="#,##0_ ;[Red]\-#,##0\ "/>
  </numFmts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8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38" fontId="0" fillId="0" borderId="0" xfId="1" applyFont="1">
      <alignment vertical="center"/>
    </xf>
    <xf numFmtId="176" fontId="0" fillId="0" borderId="0" xfId="0" applyNumberFormat="1">
      <alignment vertical="center"/>
    </xf>
    <xf numFmtId="38" fontId="0" fillId="0" borderId="0" xfId="1" applyFont="1" applyAlignment="1">
      <alignment horizontal="center" vertical="center"/>
    </xf>
    <xf numFmtId="38" fontId="0" fillId="0" borderId="0" xfId="1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8" fontId="0" fillId="0" borderId="24" xfId="1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38" fontId="0" fillId="0" borderId="25" xfId="1" applyFont="1" applyBorder="1" applyAlignment="1">
      <alignment horizontal="center" vertical="center"/>
    </xf>
    <xf numFmtId="38" fontId="0" fillId="0" borderId="26" xfId="1" applyFont="1" applyBorder="1" applyAlignment="1">
      <alignment horizontal="center" vertical="center"/>
    </xf>
    <xf numFmtId="38" fontId="0" fillId="0" borderId="27" xfId="1" applyFont="1" applyBorder="1" applyAlignment="1">
      <alignment horizontal="center" vertical="center"/>
    </xf>
    <xf numFmtId="38" fontId="0" fillId="0" borderId="31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0" xfId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8" fontId="0" fillId="0" borderId="35" xfId="1" applyFont="1" applyBorder="1" applyAlignment="1">
      <alignment horizontal="center" vertical="center"/>
    </xf>
    <xf numFmtId="177" fontId="0" fillId="0" borderId="35" xfId="0" applyNumberFormat="1" applyBorder="1" applyAlignment="1">
      <alignment horizontal="center" vertical="center"/>
    </xf>
    <xf numFmtId="38" fontId="0" fillId="0" borderId="36" xfId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38" fontId="0" fillId="0" borderId="38" xfId="1" applyFont="1" applyBorder="1" applyAlignment="1">
      <alignment horizontal="center" vertical="center"/>
    </xf>
    <xf numFmtId="177" fontId="0" fillId="0" borderId="38" xfId="0" applyNumberFormat="1" applyBorder="1" applyAlignment="1">
      <alignment horizontal="center" vertical="center"/>
    </xf>
    <xf numFmtId="38" fontId="0" fillId="0" borderId="39" xfId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38" fontId="0" fillId="0" borderId="44" xfId="1" applyFon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38" fontId="0" fillId="0" borderId="45" xfId="1" applyFont="1" applyBorder="1" applyAlignment="1">
      <alignment horizontal="center" vertical="center"/>
    </xf>
    <xf numFmtId="38" fontId="0" fillId="0" borderId="47" xfId="1" applyFon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38" fontId="0" fillId="0" borderId="48" xfId="1" applyFont="1" applyBorder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38" fontId="0" fillId="2" borderId="0" xfId="1" applyFont="1" applyFill="1" applyBorder="1">
      <alignment vertical="center"/>
    </xf>
    <xf numFmtId="176" fontId="0" fillId="2" borderId="0" xfId="0" applyNumberFormat="1" applyFill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8" fontId="0" fillId="0" borderId="9" xfId="1" applyFont="1" applyFill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38" fontId="0" fillId="0" borderId="28" xfId="1" applyFont="1" applyFill="1" applyBorder="1" applyAlignment="1">
      <alignment horizontal="center" vertical="center"/>
    </xf>
    <xf numFmtId="38" fontId="0" fillId="0" borderId="32" xfId="1" applyFont="1" applyFill="1" applyBorder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38" fontId="0" fillId="0" borderId="29" xfId="1" applyFont="1" applyFill="1" applyBorder="1" applyAlignment="1">
      <alignment horizontal="center" vertical="center"/>
    </xf>
    <xf numFmtId="38" fontId="0" fillId="0" borderId="33" xfId="1" applyFont="1" applyFill="1" applyBorder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38" fontId="0" fillId="0" borderId="0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8" fontId="0" fillId="3" borderId="33" xfId="1" applyFont="1" applyFill="1" applyBorder="1" applyAlignment="1">
      <alignment vertical="center"/>
    </xf>
    <xf numFmtId="38" fontId="0" fillId="3" borderId="5" xfId="1" applyFont="1" applyFill="1" applyBorder="1" applyAlignment="1">
      <alignment vertical="center"/>
    </xf>
    <xf numFmtId="38" fontId="0" fillId="3" borderId="6" xfId="1" applyFont="1" applyFill="1" applyBorder="1" applyAlignment="1">
      <alignment vertical="center"/>
    </xf>
    <xf numFmtId="176" fontId="0" fillId="4" borderId="5" xfId="0" applyNumberForma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76" fontId="0" fillId="5" borderId="5" xfId="0" applyNumberForma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38" fontId="0" fillId="0" borderId="53" xfId="1" applyFont="1" applyBorder="1" applyAlignment="1">
      <alignment horizontal="center" vertical="center"/>
    </xf>
    <xf numFmtId="177" fontId="0" fillId="0" borderId="53" xfId="0" applyNumberFormat="1" applyBorder="1" applyAlignment="1">
      <alignment horizontal="center" vertical="center"/>
    </xf>
    <xf numFmtId="38" fontId="0" fillId="0" borderId="54" xfId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8" fontId="0" fillId="0" borderId="0" xfId="1" applyNumberFormat="1" applyFont="1" applyBorder="1" applyAlignment="1">
      <alignment horizontal="center" vertical="center"/>
    </xf>
    <xf numFmtId="38" fontId="0" fillId="6" borderId="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76" fontId="0" fillId="4" borderId="7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38" fontId="0" fillId="0" borderId="17" xfId="1" applyFont="1" applyFill="1" applyBorder="1" applyAlignment="1">
      <alignment horizontal="center" vertical="center"/>
    </xf>
    <xf numFmtId="176" fontId="0" fillId="2" borderId="17" xfId="0" applyNumberFormat="1" applyFill="1" applyBorder="1" applyAlignment="1">
      <alignment horizontal="center" vertical="center"/>
    </xf>
    <xf numFmtId="38" fontId="0" fillId="6" borderId="17" xfId="1" applyFont="1" applyFill="1" applyBorder="1" applyAlignment="1">
      <alignment horizontal="center" vertical="center"/>
    </xf>
    <xf numFmtId="38" fontId="0" fillId="3" borderId="17" xfId="1" applyFont="1" applyFill="1" applyBorder="1" applyAlignment="1">
      <alignment horizontal="center" vertical="center"/>
    </xf>
    <xf numFmtId="176" fontId="0" fillId="3" borderId="17" xfId="0" applyNumberForma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38" fontId="0" fillId="3" borderId="58" xfId="1" applyFont="1" applyFill="1" applyBorder="1" applyAlignment="1">
      <alignment horizontal="center" vertical="center"/>
    </xf>
    <xf numFmtId="38" fontId="0" fillId="0" borderId="13" xfId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0" borderId="61" xfId="1" applyFont="1" applyFill="1" applyBorder="1" applyAlignment="1">
      <alignment horizontal="center" vertical="center"/>
    </xf>
    <xf numFmtId="38" fontId="0" fillId="0" borderId="62" xfId="1" applyFont="1" applyFill="1" applyBorder="1" applyAlignment="1">
      <alignment horizontal="center" vertical="center"/>
    </xf>
    <xf numFmtId="38" fontId="0" fillId="0" borderId="60" xfId="1" applyFont="1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38" fontId="0" fillId="0" borderId="3" xfId="1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38" fontId="0" fillId="0" borderId="6" xfId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0" fontId="0" fillId="0" borderId="64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77" fontId="0" fillId="0" borderId="64" xfId="0" applyNumberFormat="1" applyBorder="1" applyAlignment="1">
      <alignment horizontal="center" vertical="center"/>
    </xf>
    <xf numFmtId="38" fontId="0" fillId="0" borderId="65" xfId="1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20" fontId="0" fillId="0" borderId="67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78" fontId="0" fillId="0" borderId="67" xfId="1" applyNumberFormat="1" applyFont="1" applyBorder="1" applyAlignment="1">
      <alignment horizontal="center" vertical="center"/>
    </xf>
    <xf numFmtId="178" fontId="0" fillId="0" borderId="68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20" fontId="0" fillId="0" borderId="70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77" fontId="0" fillId="0" borderId="70" xfId="0" applyNumberFormat="1" applyBorder="1" applyAlignment="1">
      <alignment horizontal="center" vertical="center"/>
    </xf>
    <xf numFmtId="38" fontId="0" fillId="0" borderId="71" xfId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69" xfId="0" applyNumberFormat="1" applyBorder="1" applyAlignment="1">
      <alignment horizontal="center" vertical="center"/>
    </xf>
    <xf numFmtId="56" fontId="0" fillId="0" borderId="66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38" fontId="0" fillId="0" borderId="2" xfId="1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80" xfId="0" applyNumberFormat="1" applyBorder="1" applyAlignment="1">
      <alignment horizontal="center" vertical="center"/>
    </xf>
    <xf numFmtId="38" fontId="0" fillId="0" borderId="80" xfId="1" applyFont="1" applyFill="1" applyBorder="1" applyAlignment="1">
      <alignment horizontal="center" vertical="center"/>
    </xf>
    <xf numFmtId="38" fontId="0" fillId="0" borderId="81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38" fontId="0" fillId="0" borderId="67" xfId="1" applyFont="1" applyFill="1" applyBorder="1" applyAlignment="1">
      <alignment horizontal="center" vertical="center"/>
    </xf>
    <xf numFmtId="177" fontId="0" fillId="0" borderId="84" xfId="0" applyNumberFormat="1" applyBorder="1" applyAlignment="1">
      <alignment horizontal="center" vertical="center"/>
    </xf>
    <xf numFmtId="38" fontId="0" fillId="0" borderId="84" xfId="1" applyFont="1" applyFill="1" applyBorder="1" applyAlignment="1">
      <alignment horizontal="center" vertical="center"/>
    </xf>
    <xf numFmtId="38" fontId="0" fillId="0" borderId="85" xfId="1" applyFont="1" applyFill="1" applyBorder="1" applyAlignment="1">
      <alignment horizontal="center" vertical="center"/>
    </xf>
    <xf numFmtId="177" fontId="0" fillId="0" borderId="72" xfId="0" applyNumberFormat="1" applyBorder="1" applyAlignment="1">
      <alignment horizontal="center" vertical="center"/>
    </xf>
    <xf numFmtId="56" fontId="0" fillId="0" borderId="0" xfId="0" applyNumberFormat="1">
      <alignment vertical="center"/>
    </xf>
    <xf numFmtId="0" fontId="0" fillId="2" borderId="7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38" fontId="0" fillId="2" borderId="2" xfId="1" applyFon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7" fontId="0" fillId="2" borderId="80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38" fontId="0" fillId="2" borderId="9" xfId="1" applyFont="1" applyFill="1" applyBorder="1" applyAlignment="1">
      <alignment horizontal="center" vertical="center"/>
    </xf>
    <xf numFmtId="177" fontId="0" fillId="2" borderId="28" xfId="0" applyNumberForma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176" fontId="0" fillId="0" borderId="48" xfId="0" applyNumberFormat="1" applyBorder="1" applyAlignment="1">
      <alignment horizontal="center" vertical="center"/>
    </xf>
    <xf numFmtId="176" fontId="0" fillId="0" borderId="42" xfId="0" applyNumberFormat="1" applyBorder="1" applyAlignment="1">
      <alignment horizontal="center" vertical="center"/>
    </xf>
    <xf numFmtId="56" fontId="0" fillId="0" borderId="86" xfId="0" applyNumberForma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56" fontId="0" fillId="0" borderId="87" xfId="0" applyNumberFormat="1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38" fontId="0" fillId="0" borderId="59" xfId="1" applyFont="1" applyBorder="1" applyAlignment="1">
      <alignment horizontal="center" vertical="center"/>
    </xf>
    <xf numFmtId="20" fontId="0" fillId="0" borderId="88" xfId="0" applyNumberForma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177" fontId="0" fillId="0" borderId="88" xfId="0" applyNumberFormat="1" applyBorder="1" applyAlignment="1">
      <alignment horizontal="center" vertical="center"/>
    </xf>
    <xf numFmtId="38" fontId="0" fillId="0" borderId="89" xfId="1" applyFont="1" applyBorder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177" fontId="0" fillId="0" borderId="67" xfId="0" applyNumberFormat="1" applyBorder="1" applyAlignment="1">
      <alignment horizontal="center" vertical="center"/>
    </xf>
    <xf numFmtId="38" fontId="0" fillId="0" borderId="68" xfId="1" applyFont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176" fontId="0" fillId="0" borderId="36" xfId="0" applyNumberFormat="1" applyBorder="1" applyAlignment="1">
      <alignment horizontal="center" vertical="center"/>
    </xf>
    <xf numFmtId="38" fontId="0" fillId="0" borderId="88" xfId="1" applyFont="1" applyFill="1" applyBorder="1" applyAlignment="1">
      <alignment horizontal="center" vertical="center"/>
    </xf>
    <xf numFmtId="56" fontId="0" fillId="4" borderId="86" xfId="0" applyNumberFormat="1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7" fontId="0" fillId="4" borderId="2" xfId="0" applyNumberFormat="1" applyFill="1" applyBorder="1" applyAlignment="1">
      <alignment horizontal="center" vertical="center"/>
    </xf>
    <xf numFmtId="38" fontId="0" fillId="4" borderId="3" xfId="1" applyFont="1" applyFill="1" applyBorder="1" applyAlignment="1">
      <alignment horizontal="center"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7" fontId="0" fillId="4" borderId="17" xfId="0" applyNumberFormat="1" applyFill="1" applyBorder="1" applyAlignment="1">
      <alignment horizontal="center" vertical="center"/>
    </xf>
    <xf numFmtId="38" fontId="0" fillId="4" borderId="59" xfId="1" applyFont="1" applyFill="1" applyBorder="1" applyAlignment="1">
      <alignment horizontal="center" vertical="center"/>
    </xf>
    <xf numFmtId="20" fontId="0" fillId="4" borderId="88" xfId="0" applyNumberFormat="1" applyFill="1" applyBorder="1" applyAlignment="1">
      <alignment horizontal="center" vertical="center"/>
    </xf>
    <xf numFmtId="0" fontId="0" fillId="4" borderId="88" xfId="0" applyFill="1" applyBorder="1" applyAlignment="1">
      <alignment horizontal="center" vertical="center"/>
    </xf>
    <xf numFmtId="177" fontId="0" fillId="4" borderId="88" xfId="0" applyNumberFormat="1" applyFill="1" applyBorder="1" applyAlignment="1">
      <alignment horizontal="center" vertical="center"/>
    </xf>
    <xf numFmtId="38" fontId="0" fillId="4" borderId="89" xfId="1" applyFont="1" applyFill="1" applyBorder="1" applyAlignment="1">
      <alignment horizontal="center" vertical="center"/>
    </xf>
    <xf numFmtId="20" fontId="0" fillId="4" borderId="67" xfId="0" applyNumberFormat="1" applyFill="1" applyBorder="1" applyAlignment="1">
      <alignment horizontal="center" vertical="center"/>
    </xf>
    <xf numFmtId="0" fontId="0" fillId="4" borderId="67" xfId="0" applyFill="1" applyBorder="1" applyAlignment="1">
      <alignment horizontal="center" vertical="center"/>
    </xf>
    <xf numFmtId="177" fontId="0" fillId="4" borderId="67" xfId="0" applyNumberFormat="1" applyFill="1" applyBorder="1" applyAlignment="1">
      <alignment horizontal="center" vertical="center"/>
    </xf>
    <xf numFmtId="38" fontId="0" fillId="4" borderId="68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8" fontId="0" fillId="4" borderId="0" xfId="1" applyFont="1" applyFill="1" applyBorder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176" fontId="0" fillId="4" borderId="42" xfId="0" applyNumberFormat="1" applyFill="1" applyBorder="1" applyAlignment="1">
      <alignment horizontal="center" vertical="center"/>
    </xf>
    <xf numFmtId="0" fontId="0" fillId="4" borderId="87" xfId="0" applyFill="1" applyBorder="1" applyAlignment="1">
      <alignment horizontal="center" vertical="center"/>
    </xf>
    <xf numFmtId="38" fontId="0" fillId="4" borderId="88" xfId="1" applyFont="1" applyFill="1" applyBorder="1" applyAlignment="1">
      <alignment horizontal="center" vertical="center"/>
    </xf>
    <xf numFmtId="176" fontId="0" fillId="4" borderId="36" xfId="0" applyNumberForma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38" fontId="0" fillId="4" borderId="35" xfId="1" applyFont="1" applyFill="1" applyBorder="1" applyAlignment="1">
      <alignment horizontal="center" vertical="center"/>
    </xf>
    <xf numFmtId="177" fontId="0" fillId="4" borderId="35" xfId="0" applyNumberFormat="1" applyFill="1" applyBorder="1" applyAlignment="1">
      <alignment horizontal="center" vertical="center"/>
    </xf>
    <xf numFmtId="176" fontId="0" fillId="4" borderId="39" xfId="0" applyNumberFormat="1" applyFill="1" applyBorder="1" applyAlignment="1">
      <alignment horizontal="center" vertical="center"/>
    </xf>
    <xf numFmtId="38" fontId="0" fillId="4" borderId="44" xfId="1" applyFont="1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38" fontId="0" fillId="4" borderId="47" xfId="1" applyFont="1" applyFill="1" applyBorder="1" applyAlignment="1">
      <alignment horizontal="center" vertical="center"/>
    </xf>
    <xf numFmtId="177" fontId="0" fillId="4" borderId="47" xfId="0" applyNumberFormat="1" applyFill="1" applyBorder="1" applyAlignment="1">
      <alignment horizontal="center" vertical="center"/>
    </xf>
    <xf numFmtId="176" fontId="0" fillId="4" borderId="48" xfId="0" applyNumberFormat="1" applyFill="1" applyBorder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4" fillId="0" borderId="0" xfId="0" applyFont="1">
      <alignment vertical="center"/>
    </xf>
    <xf numFmtId="38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5" fontId="4" fillId="0" borderId="0" xfId="0" applyNumberFormat="1" applyFont="1">
      <alignment vertical="center"/>
    </xf>
    <xf numFmtId="0" fontId="0" fillId="0" borderId="91" xfId="0" applyBorder="1" applyAlignment="1">
      <alignment horizontal="center" vertical="center"/>
    </xf>
    <xf numFmtId="38" fontId="0" fillId="0" borderId="91" xfId="1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76" fontId="0" fillId="0" borderId="35" xfId="0" applyNumberForma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38" fontId="0" fillId="0" borderId="98" xfId="1" applyFont="1" applyBorder="1" applyAlignment="1">
      <alignment horizontal="center" vertical="center"/>
    </xf>
    <xf numFmtId="177" fontId="0" fillId="0" borderId="98" xfId="0" applyNumberFormat="1" applyBorder="1" applyAlignment="1">
      <alignment horizontal="center" vertical="center"/>
    </xf>
    <xf numFmtId="176" fontId="0" fillId="0" borderId="98" xfId="0" applyNumberFormat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176" fontId="0" fillId="0" borderId="38" xfId="0" applyNumberFormat="1" applyBorder="1" applyAlignment="1">
      <alignment horizontal="center" vertical="center"/>
    </xf>
    <xf numFmtId="176" fontId="0" fillId="0" borderId="92" xfId="0" applyNumberFormat="1" applyBorder="1" applyAlignment="1">
      <alignment horizontal="center" vertical="center"/>
    </xf>
    <xf numFmtId="38" fontId="0" fillId="0" borderId="92" xfId="1" applyFont="1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38" fontId="0" fillId="0" borderId="38" xfId="1" applyFont="1" applyFill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176" fontId="0" fillId="0" borderId="91" xfId="0" applyNumberFormat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38" fontId="0" fillId="0" borderId="91" xfId="1" applyFont="1" applyBorder="1" applyAlignment="1">
      <alignment horizontal="center" vertical="center"/>
    </xf>
    <xf numFmtId="177" fontId="0" fillId="0" borderId="91" xfId="0" applyNumberFormat="1" applyBorder="1" applyAlignment="1">
      <alignment horizontal="center" vertical="center"/>
    </xf>
    <xf numFmtId="20" fontId="0" fillId="0" borderId="91" xfId="0" applyNumberFormat="1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38" fontId="0" fillId="0" borderId="35" xfId="1" applyFont="1" applyFill="1" applyBorder="1" applyAlignment="1">
      <alignment horizontal="center" vertical="center"/>
    </xf>
    <xf numFmtId="38" fontId="0" fillId="0" borderId="24" xfId="1" applyFont="1" applyFill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56" fontId="0" fillId="0" borderId="87" xfId="0" applyNumberFormat="1" applyBorder="1">
      <alignment vertical="center"/>
    </xf>
    <xf numFmtId="20" fontId="0" fillId="0" borderId="38" xfId="0" applyNumberFormat="1" applyBorder="1" applyAlignment="1">
      <alignment horizontal="center" vertical="center"/>
    </xf>
    <xf numFmtId="56" fontId="0" fillId="0" borderId="111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20" fontId="0" fillId="0" borderId="98" xfId="0" applyNumberFormat="1" applyBorder="1" applyAlignment="1">
      <alignment horizontal="center" vertical="center"/>
    </xf>
    <xf numFmtId="38" fontId="0" fillId="0" borderId="98" xfId="1" applyFont="1" applyFill="1" applyBorder="1" applyAlignment="1">
      <alignment horizontal="center" vertical="center"/>
    </xf>
    <xf numFmtId="20" fontId="0" fillId="0" borderId="107" xfId="0" applyNumberFormat="1" applyBorder="1" applyAlignment="1">
      <alignment horizontal="center" vertical="center"/>
    </xf>
    <xf numFmtId="20" fontId="0" fillId="0" borderId="109" xfId="0" applyNumberFormat="1" applyBorder="1" applyAlignment="1">
      <alignment horizontal="center" vertical="center"/>
    </xf>
    <xf numFmtId="20" fontId="0" fillId="0" borderId="108" xfId="0" applyNumberFormat="1" applyBorder="1" applyAlignment="1">
      <alignment horizontal="center" vertical="center"/>
    </xf>
    <xf numFmtId="20" fontId="0" fillId="0" borderId="110" xfId="0" applyNumberFormat="1" applyBorder="1" applyAlignment="1">
      <alignment horizontal="center" vertical="center"/>
    </xf>
    <xf numFmtId="38" fontId="6" fillId="0" borderId="0" xfId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8" fontId="1" fillId="0" borderId="0" xfId="1" applyFont="1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8" fontId="0" fillId="0" borderId="93" xfId="1" applyFont="1" applyFill="1" applyBorder="1" applyAlignment="1">
      <alignment horizontal="center" vertical="center"/>
    </xf>
    <xf numFmtId="177" fontId="0" fillId="0" borderId="93" xfId="0" applyNumberFormat="1" applyBorder="1" applyAlignment="1">
      <alignment horizontal="center" vertical="center"/>
    </xf>
    <xf numFmtId="176" fontId="0" fillId="0" borderId="93" xfId="0" applyNumberForma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56" fontId="0" fillId="0" borderId="107" xfId="0" applyNumberFormat="1" applyBorder="1" applyAlignment="1">
      <alignment horizontal="center" vertical="center"/>
    </xf>
    <xf numFmtId="56" fontId="0" fillId="0" borderId="108" xfId="0" applyNumberFormat="1" applyBorder="1" applyAlignment="1">
      <alignment horizontal="center" vertical="center"/>
    </xf>
    <xf numFmtId="56" fontId="0" fillId="0" borderId="109" xfId="0" applyNumberFormat="1" applyBorder="1" applyAlignment="1">
      <alignment horizontal="center" vertical="center"/>
    </xf>
    <xf numFmtId="38" fontId="0" fillId="0" borderId="44" xfId="1" applyFont="1" applyFill="1" applyBorder="1" applyAlignment="1">
      <alignment horizontal="center" vertical="center"/>
    </xf>
    <xf numFmtId="176" fontId="0" fillId="0" borderId="44" xfId="0" applyNumberFormat="1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56" fontId="0" fillId="0" borderId="86" xfId="0" applyNumberFormat="1" applyBorder="1" applyAlignment="1">
      <alignment horizontal="center" vertical="center"/>
    </xf>
    <xf numFmtId="56" fontId="0" fillId="0" borderId="87" xfId="0" applyNumberFormat="1" applyBorder="1" applyAlignment="1">
      <alignment horizontal="center" vertical="center"/>
    </xf>
    <xf numFmtId="56" fontId="0" fillId="0" borderId="66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56" fontId="0" fillId="0" borderId="10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6" fontId="0" fillId="4" borderId="87" xfId="0" applyNumberFormat="1" applyFill="1" applyBorder="1" applyAlignment="1">
      <alignment horizontal="center" vertical="center"/>
    </xf>
    <xf numFmtId="56" fontId="0" fillId="4" borderId="66" xfId="0" applyNumberFormat="1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8" fontId="0" fillId="0" borderId="21" xfId="1" applyFont="1" applyBorder="1" applyAlignment="1">
      <alignment horizontal="center" vertical="center"/>
    </xf>
    <xf numFmtId="38" fontId="0" fillId="0" borderId="26" xfId="1" applyFont="1" applyBorder="1" applyAlignment="1">
      <alignment horizontal="center" vertical="center"/>
    </xf>
    <xf numFmtId="38" fontId="0" fillId="0" borderId="74" xfId="1" applyFont="1" applyBorder="1" applyAlignment="1">
      <alignment horizontal="center" vertical="center"/>
    </xf>
    <xf numFmtId="38" fontId="0" fillId="0" borderId="73" xfId="1" applyFont="1" applyBorder="1" applyAlignment="1">
      <alignment horizontal="center" vertical="center"/>
    </xf>
    <xf numFmtId="38" fontId="0" fillId="0" borderId="75" xfId="1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38" fontId="0" fillId="0" borderId="30" xfId="1" applyFont="1" applyBorder="1" applyAlignment="1">
      <alignment horizontal="center" vertical="center"/>
    </xf>
    <xf numFmtId="38" fontId="0" fillId="0" borderId="51" xfId="1" applyFont="1" applyFill="1" applyBorder="1" applyAlignment="1">
      <alignment horizontal="center" vertical="center"/>
    </xf>
    <xf numFmtId="38" fontId="0" fillId="0" borderId="49" xfId="1" applyFont="1" applyFill="1" applyBorder="1" applyAlignment="1">
      <alignment horizontal="center" vertical="center"/>
    </xf>
    <xf numFmtId="38" fontId="0" fillId="0" borderId="50" xfId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313765</xdr:colOff>
      <xdr:row>25</xdr:row>
      <xdr:rowOff>145676</xdr:rowOff>
    </xdr:from>
    <xdr:to>
      <xdr:col>7</xdr:col>
      <xdr:colOff>1221441</xdr:colOff>
      <xdr:row>29</xdr:row>
      <xdr:rowOff>134470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BA335893-D0CA-4488-81B1-85D48CCEA0A4}"/>
            </a:ext>
          </a:extLst>
        </xdr:cNvPr>
        <xdr:cNvSpPr/>
      </xdr:nvSpPr>
      <xdr:spPr>
        <a:xfrm>
          <a:off x="4964206" y="6084794"/>
          <a:ext cx="907676" cy="930088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32A3-8AA4-4E55-88C7-2723197ECB85}">
  <dimension ref="A1:AD43"/>
  <sheetViews>
    <sheetView tabSelected="1" view="pageBreakPreview" zoomScale="85" zoomScaleNormal="85" zoomScaleSheetLayoutView="85" workbookViewId="0">
      <selection activeCell="H22" sqref="H22"/>
    </sheetView>
  </sheetViews>
  <sheetFormatPr baseColWidth="10" defaultColWidth="8.83203125" defaultRowHeight="18"/>
  <cols>
    <col min="7" max="7" width="9.5" bestFit="1" customWidth="1"/>
    <col min="28" max="28" width="10.33203125" bestFit="1" customWidth="1"/>
  </cols>
  <sheetData>
    <row r="1" spans="1:29" ht="19" thickBot="1">
      <c r="C1" s="173"/>
      <c r="D1" s="22"/>
      <c r="E1" s="22"/>
      <c r="F1" s="23"/>
      <c r="G1" s="24"/>
      <c r="H1" s="23"/>
      <c r="I1" s="65"/>
      <c r="J1" s="22"/>
    </row>
    <row r="2" spans="1:29" ht="20" thickTop="1" thickBot="1">
      <c r="A2" s="286">
        <v>44211</v>
      </c>
      <c r="B2" s="255" t="s">
        <v>100</v>
      </c>
      <c r="C2" s="225" t="s">
        <v>0</v>
      </c>
      <c r="D2" s="225" t="s">
        <v>101</v>
      </c>
      <c r="E2" s="225" t="s">
        <v>1</v>
      </c>
      <c r="F2" s="225" t="s">
        <v>30</v>
      </c>
      <c r="G2" s="225" t="s">
        <v>2</v>
      </c>
      <c r="H2" s="225" t="s">
        <v>3</v>
      </c>
      <c r="I2" s="236" t="s">
        <v>4</v>
      </c>
      <c r="J2" s="237" t="s">
        <v>50</v>
      </c>
      <c r="K2" s="238" t="s">
        <v>92</v>
      </c>
      <c r="M2" s="173">
        <v>44211</v>
      </c>
      <c r="N2" s="22"/>
      <c r="O2" s="64"/>
      <c r="P2" s="64"/>
      <c r="Q2" s="65"/>
      <c r="R2" s="65"/>
      <c r="S2" s="64"/>
      <c r="T2" s="23"/>
      <c r="U2" s="23"/>
      <c r="V2" s="173">
        <v>44218</v>
      </c>
      <c r="W2" s="158"/>
      <c r="X2" s="158"/>
      <c r="Y2" s="22"/>
      <c r="Z2" s="158"/>
    </row>
    <row r="3" spans="1:29" ht="20" thickTop="1" thickBot="1">
      <c r="A3" s="288"/>
      <c r="B3" s="266"/>
      <c r="C3" s="267" t="s">
        <v>5</v>
      </c>
      <c r="D3" s="267">
        <v>1.45</v>
      </c>
      <c r="E3" s="267" t="s">
        <v>89</v>
      </c>
      <c r="F3" s="268" t="s">
        <v>94</v>
      </c>
      <c r="G3" s="269">
        <v>26130</v>
      </c>
      <c r="H3" s="268">
        <v>1474</v>
      </c>
      <c r="I3" s="270">
        <f t="shared" ref="I3" si="0">SUM(G3/H3)</f>
        <v>17.727272727272727</v>
      </c>
      <c r="J3" s="268">
        <v>805</v>
      </c>
      <c r="K3" s="271" t="s">
        <v>21</v>
      </c>
      <c r="M3" s="283" t="s">
        <v>47</v>
      </c>
      <c r="N3" s="284"/>
      <c r="O3" s="284"/>
      <c r="P3" s="284"/>
      <c r="Q3" s="284"/>
      <c r="R3" s="284"/>
      <c r="S3" s="285"/>
      <c r="T3" s="22"/>
      <c r="U3" s="22"/>
      <c r="V3" s="283" t="s">
        <v>47</v>
      </c>
      <c r="W3" s="284"/>
      <c r="X3" s="284"/>
      <c r="Y3" s="284"/>
      <c r="Z3" s="284"/>
      <c r="AA3" s="284"/>
      <c r="AB3" s="285"/>
      <c r="AC3" s="22"/>
    </row>
    <row r="4" spans="1:29">
      <c r="A4" s="288"/>
      <c r="B4" s="272"/>
      <c r="C4" s="26" t="s">
        <v>6</v>
      </c>
      <c r="D4" s="26">
        <v>2.1</v>
      </c>
      <c r="E4" s="26" t="s">
        <v>8</v>
      </c>
      <c r="F4" s="250" t="s">
        <v>94</v>
      </c>
      <c r="G4" s="28">
        <v>21210</v>
      </c>
      <c r="H4" s="250">
        <v>2368</v>
      </c>
      <c r="I4" s="227">
        <f>SUM(G4/H4)</f>
        <v>8.9569256756756754</v>
      </c>
      <c r="J4" s="250">
        <v>1476</v>
      </c>
      <c r="K4" s="228" t="s">
        <v>21</v>
      </c>
      <c r="M4" s="280">
        <v>44211</v>
      </c>
      <c r="N4" s="105">
        <v>0.2951388888888889</v>
      </c>
      <c r="O4" s="105" t="s">
        <v>5</v>
      </c>
      <c r="P4" s="106" t="s">
        <v>28</v>
      </c>
      <c r="Q4" s="105">
        <v>0.36805555555555558</v>
      </c>
      <c r="R4" s="107" t="s">
        <v>6</v>
      </c>
      <c r="S4" s="108"/>
      <c r="T4" s="22"/>
      <c r="U4" s="22"/>
      <c r="V4" s="280">
        <v>44218</v>
      </c>
      <c r="W4" s="105">
        <v>0.3611111111111111</v>
      </c>
      <c r="X4" s="105" t="s">
        <v>56</v>
      </c>
      <c r="Y4" s="106" t="s">
        <v>28</v>
      </c>
      <c r="Z4" s="105">
        <v>0.46527777777777773</v>
      </c>
      <c r="AA4" s="107" t="s">
        <v>6</v>
      </c>
      <c r="AB4" s="108"/>
      <c r="AC4" s="22"/>
    </row>
    <row r="5" spans="1:29" ht="19" thickBot="1">
      <c r="A5" s="288"/>
      <c r="B5" s="273"/>
      <c r="C5" s="14" t="s">
        <v>8</v>
      </c>
      <c r="D5" s="14">
        <v>1.05</v>
      </c>
      <c r="E5" s="251" t="s">
        <v>56</v>
      </c>
      <c r="F5" s="251" t="s">
        <v>94</v>
      </c>
      <c r="G5" s="240">
        <v>9930</v>
      </c>
      <c r="H5" s="251">
        <v>786</v>
      </c>
      <c r="I5" s="16">
        <f>SUM(G5/H5)</f>
        <v>12.633587786259541</v>
      </c>
      <c r="J5" s="251">
        <v>289</v>
      </c>
      <c r="K5" s="252" t="s">
        <v>21</v>
      </c>
      <c r="M5" s="281"/>
      <c r="N5" s="165">
        <v>0.46527777777777773</v>
      </c>
      <c r="O5" s="165" t="s">
        <v>6</v>
      </c>
      <c r="P5" s="166" t="s">
        <v>28</v>
      </c>
      <c r="Q5" s="165">
        <v>0.55902777777777779</v>
      </c>
      <c r="R5" s="167" t="s">
        <v>8</v>
      </c>
      <c r="S5" s="168"/>
      <c r="T5" s="22"/>
      <c r="U5" s="22"/>
      <c r="V5" s="281"/>
      <c r="W5" s="165">
        <v>0.51388888888888895</v>
      </c>
      <c r="X5" s="165" t="s">
        <v>6</v>
      </c>
      <c r="Y5" s="166" t="s">
        <v>28</v>
      </c>
      <c r="Z5" s="165">
        <v>0.60763888888888895</v>
      </c>
      <c r="AA5" s="167" t="s">
        <v>8</v>
      </c>
      <c r="AB5" s="168"/>
      <c r="AC5" s="22"/>
    </row>
    <row r="6" spans="1:29">
      <c r="A6" s="286">
        <v>44218</v>
      </c>
      <c r="B6" s="274"/>
      <c r="C6" s="223" t="s">
        <v>56</v>
      </c>
      <c r="D6" s="223">
        <v>2.2999999999999998</v>
      </c>
      <c r="E6" s="223" t="s">
        <v>89</v>
      </c>
      <c r="F6" s="223" t="s">
        <v>93</v>
      </c>
      <c r="G6" s="224">
        <v>31460</v>
      </c>
      <c r="H6" s="223">
        <v>2422</v>
      </c>
      <c r="I6" s="243">
        <f>SUM(G6/H6)</f>
        <v>12.989265070189926</v>
      </c>
      <c r="J6" s="223">
        <v>1516</v>
      </c>
      <c r="K6" s="244" t="s">
        <v>21</v>
      </c>
      <c r="M6" s="281"/>
      <c r="N6" s="169">
        <v>0.73958333333333337</v>
      </c>
      <c r="O6" s="169" t="s">
        <v>8</v>
      </c>
      <c r="P6" s="170" t="s">
        <v>28</v>
      </c>
      <c r="Q6" s="169">
        <v>0.78472222222222221</v>
      </c>
      <c r="R6" s="171" t="s">
        <v>56</v>
      </c>
      <c r="S6" s="172"/>
      <c r="T6" s="22"/>
      <c r="U6" s="22"/>
      <c r="V6" s="281"/>
      <c r="W6" s="169">
        <v>0.64583333333333337</v>
      </c>
      <c r="X6" s="169" t="s">
        <v>8</v>
      </c>
      <c r="Y6" s="170" t="s">
        <v>28</v>
      </c>
      <c r="Z6" s="169">
        <v>0.76388888888888884</v>
      </c>
      <c r="AA6" s="171" t="s">
        <v>6</v>
      </c>
      <c r="AB6" s="172"/>
      <c r="AC6" s="23"/>
    </row>
    <row r="7" spans="1:29">
      <c r="A7" s="286"/>
      <c r="B7" s="275"/>
      <c r="C7" s="26" t="s">
        <v>6</v>
      </c>
      <c r="D7" s="26">
        <v>2.1</v>
      </c>
      <c r="E7" s="26" t="s">
        <v>8</v>
      </c>
      <c r="F7" s="250" t="s">
        <v>94</v>
      </c>
      <c r="G7" s="28">
        <v>21210</v>
      </c>
      <c r="H7" s="250">
        <v>2368</v>
      </c>
      <c r="I7" s="227">
        <f t="shared" ref="I7" si="1">SUM(G7/H7)</f>
        <v>8.9569256756756754</v>
      </c>
      <c r="J7" s="26">
        <v>1476</v>
      </c>
      <c r="K7" s="228" t="s">
        <v>21</v>
      </c>
      <c r="M7" s="163"/>
      <c r="N7" s="169"/>
      <c r="O7" s="169"/>
      <c r="P7" s="170"/>
      <c r="Q7" s="169"/>
      <c r="R7" s="171"/>
      <c r="S7" s="172"/>
      <c r="T7" s="22"/>
      <c r="U7" s="22"/>
      <c r="V7" s="281"/>
      <c r="W7" s="169">
        <v>0.82638888888888884</v>
      </c>
      <c r="X7" s="169" t="s">
        <v>6</v>
      </c>
      <c r="Y7" s="170" t="s">
        <v>28</v>
      </c>
      <c r="Z7" s="169">
        <v>0.89583333333333337</v>
      </c>
      <c r="AA7" s="171" t="s">
        <v>5</v>
      </c>
      <c r="AB7" s="172"/>
      <c r="AC7" s="23"/>
    </row>
    <row r="8" spans="1:29" ht="19" thickBot="1">
      <c r="A8" s="286"/>
      <c r="B8" s="275"/>
      <c r="C8" s="26" t="s">
        <v>8</v>
      </c>
      <c r="D8" s="26">
        <v>2.1</v>
      </c>
      <c r="E8" s="26" t="s">
        <v>89</v>
      </c>
      <c r="F8" s="250" t="s">
        <v>94</v>
      </c>
      <c r="G8" s="28">
        <v>21210</v>
      </c>
      <c r="H8" s="250">
        <v>2368</v>
      </c>
      <c r="I8" s="227">
        <f>SUM(G8/H8)</f>
        <v>8.9569256756756754</v>
      </c>
      <c r="J8" s="26">
        <v>1476</v>
      </c>
      <c r="K8" s="228" t="s">
        <v>21</v>
      </c>
      <c r="M8" s="117"/>
      <c r="N8" s="118"/>
      <c r="O8" s="118"/>
      <c r="P8" s="119"/>
      <c r="Q8" s="118"/>
      <c r="R8" s="174"/>
      <c r="S8" s="175"/>
      <c r="T8" s="22"/>
      <c r="U8" s="22"/>
      <c r="V8" s="282"/>
      <c r="W8" s="118"/>
      <c r="X8" s="118"/>
      <c r="Y8" s="119"/>
      <c r="Z8" s="118"/>
      <c r="AA8" s="174"/>
      <c r="AB8" s="175"/>
      <c r="AC8" s="23"/>
    </row>
    <row r="9" spans="1:29" ht="19" thickBot="1">
      <c r="A9" s="286"/>
      <c r="B9" s="276"/>
      <c r="C9" s="14" t="s">
        <v>6</v>
      </c>
      <c r="D9" s="14">
        <v>1.45</v>
      </c>
      <c r="E9" s="251" t="s">
        <v>5</v>
      </c>
      <c r="F9" s="251" t="s">
        <v>94</v>
      </c>
      <c r="G9" s="240">
        <v>15280</v>
      </c>
      <c r="H9" s="251">
        <v>1205</v>
      </c>
      <c r="I9" s="16">
        <f t="shared" ref="I9" si="2">SUM(G9/H9)</f>
        <v>12.680497925311203</v>
      </c>
      <c r="J9" s="14">
        <v>603</v>
      </c>
      <c r="K9" s="252" t="s">
        <v>21</v>
      </c>
      <c r="M9" s="173">
        <v>44211</v>
      </c>
      <c r="N9" s="22"/>
      <c r="O9" s="22"/>
      <c r="P9" s="23"/>
      <c r="Q9" s="24"/>
      <c r="R9" s="23"/>
      <c r="S9" s="65"/>
      <c r="T9" s="22"/>
      <c r="U9" s="22"/>
      <c r="V9" s="173">
        <v>44218</v>
      </c>
      <c r="W9" s="22"/>
      <c r="X9" s="23"/>
      <c r="Y9" s="24"/>
      <c r="AA9" s="22"/>
      <c r="AB9" s="22"/>
      <c r="AC9" s="22"/>
    </row>
    <row r="10" spans="1:29" ht="19" thickBot="1">
      <c r="A10" s="286">
        <v>44315</v>
      </c>
      <c r="B10" s="274"/>
      <c r="C10" s="223" t="s">
        <v>5</v>
      </c>
      <c r="D10" s="223">
        <v>1.45</v>
      </c>
      <c r="E10" s="223" t="s">
        <v>89</v>
      </c>
      <c r="F10" s="223" t="s">
        <v>93</v>
      </c>
      <c r="G10" s="224">
        <v>26030</v>
      </c>
      <c r="H10" s="223">
        <v>3484</v>
      </c>
      <c r="I10" s="243">
        <f t="shared" ref="I10:I17" si="3">SUM(G10/K10)</f>
        <v>14.942594718714121</v>
      </c>
      <c r="J10" s="223">
        <v>1006</v>
      </c>
      <c r="K10" s="244">
        <v>1742</v>
      </c>
      <c r="M10" s="35" t="s">
        <v>0</v>
      </c>
      <c r="N10" s="36" t="s">
        <v>28</v>
      </c>
      <c r="O10" s="36" t="s">
        <v>1</v>
      </c>
      <c r="P10" s="36" t="s">
        <v>30</v>
      </c>
      <c r="Q10" s="36" t="s">
        <v>2</v>
      </c>
      <c r="R10" s="36" t="s">
        <v>3</v>
      </c>
      <c r="S10" s="161" t="s">
        <v>4</v>
      </c>
      <c r="T10" s="3" t="s">
        <v>50</v>
      </c>
      <c r="U10" s="3"/>
      <c r="V10" s="35" t="s">
        <v>0</v>
      </c>
      <c r="W10" s="36" t="s">
        <v>28</v>
      </c>
      <c r="X10" s="36" t="s">
        <v>1</v>
      </c>
      <c r="Y10" s="36" t="s">
        <v>30</v>
      </c>
      <c r="Z10" s="36" t="s">
        <v>2</v>
      </c>
      <c r="AA10" s="36" t="s">
        <v>3</v>
      </c>
      <c r="AB10" s="161" t="s">
        <v>4</v>
      </c>
      <c r="AC10" s="176" t="s">
        <v>50</v>
      </c>
    </row>
    <row r="11" spans="1:29">
      <c r="A11" s="288"/>
      <c r="B11" s="272"/>
      <c r="C11" s="26" t="s">
        <v>6</v>
      </c>
      <c r="D11" s="26">
        <v>2.1</v>
      </c>
      <c r="E11" s="26" t="s">
        <v>8</v>
      </c>
      <c r="F11" s="250" t="s">
        <v>93</v>
      </c>
      <c r="G11" s="28">
        <v>37560</v>
      </c>
      <c r="H11" s="250">
        <v>5720</v>
      </c>
      <c r="I11" s="227">
        <f t="shared" si="3"/>
        <v>13.132867132867133</v>
      </c>
      <c r="J11" s="26">
        <v>1845</v>
      </c>
      <c r="K11" s="228">
        <v>2860</v>
      </c>
      <c r="M11" s="30" t="s">
        <v>5</v>
      </c>
      <c r="N11" s="31">
        <v>1.45</v>
      </c>
      <c r="O11" s="31" t="s">
        <v>6</v>
      </c>
      <c r="P11" s="32" t="s">
        <v>32</v>
      </c>
      <c r="Q11" s="33">
        <v>26130</v>
      </c>
      <c r="R11" s="32">
        <v>1474</v>
      </c>
      <c r="S11" s="159">
        <f t="shared" ref="S11" si="4">SUM(Q11/R11)</f>
        <v>17.727272727272727</v>
      </c>
      <c r="T11" s="3">
        <v>805</v>
      </c>
      <c r="U11" s="3"/>
      <c r="V11" s="163" t="s">
        <v>56</v>
      </c>
      <c r="W11" s="170">
        <v>2.2999999999999998</v>
      </c>
      <c r="X11" s="170" t="s">
        <v>6</v>
      </c>
      <c r="Y11" s="170" t="s">
        <v>9</v>
      </c>
      <c r="Z11" s="178">
        <v>31460</v>
      </c>
      <c r="AA11" s="170">
        <v>2422</v>
      </c>
      <c r="AB11" s="177">
        <f>SUM(Z11/AA11)</f>
        <v>12.989265070189926</v>
      </c>
      <c r="AC11" s="22">
        <v>1516</v>
      </c>
    </row>
    <row r="12" spans="1:29" ht="19" thickBot="1">
      <c r="A12" s="288"/>
      <c r="B12" s="273"/>
      <c r="C12" s="14" t="s">
        <v>8</v>
      </c>
      <c r="D12" s="14">
        <v>1.05</v>
      </c>
      <c r="E12" s="14" t="s">
        <v>56</v>
      </c>
      <c r="F12" s="251" t="s">
        <v>93</v>
      </c>
      <c r="G12" s="240">
        <v>17030</v>
      </c>
      <c r="H12" s="251">
        <v>1764</v>
      </c>
      <c r="I12" s="16">
        <f t="shared" si="3"/>
        <v>19.308390022675738</v>
      </c>
      <c r="J12" s="14">
        <v>361</v>
      </c>
      <c r="K12" s="252">
        <v>882</v>
      </c>
      <c r="M12" s="25" t="s">
        <v>6</v>
      </c>
      <c r="N12" s="26">
        <v>2.1</v>
      </c>
      <c r="O12" s="26" t="s">
        <v>8</v>
      </c>
      <c r="P12" s="27" t="s">
        <v>32</v>
      </c>
      <c r="Q12" s="28">
        <v>21210</v>
      </c>
      <c r="R12" s="27">
        <v>2368</v>
      </c>
      <c r="S12" s="159">
        <f>SUM(Q12/R12)</f>
        <v>8.9569256756756754</v>
      </c>
      <c r="T12" s="3">
        <v>1476</v>
      </c>
      <c r="U12" s="3"/>
      <c r="V12" s="25" t="s">
        <v>6</v>
      </c>
      <c r="W12" s="26">
        <v>2.1</v>
      </c>
      <c r="X12" s="26" t="s">
        <v>8</v>
      </c>
      <c r="Y12" s="27" t="s">
        <v>32</v>
      </c>
      <c r="Z12" s="28">
        <v>21210</v>
      </c>
      <c r="AA12" s="27">
        <v>2368</v>
      </c>
      <c r="AB12" s="177">
        <f t="shared" ref="AB12:AB14" si="5">SUM(Z12/AA12)</f>
        <v>8.9569256756756754</v>
      </c>
      <c r="AC12" s="22">
        <v>1476</v>
      </c>
    </row>
    <row r="13" spans="1:29">
      <c r="A13" s="286">
        <v>44319</v>
      </c>
      <c r="B13" s="274"/>
      <c r="C13" s="31" t="s">
        <v>56</v>
      </c>
      <c r="D13" s="31">
        <v>2.2999999999999998</v>
      </c>
      <c r="E13" s="31" t="s">
        <v>89</v>
      </c>
      <c r="F13" s="31" t="s">
        <v>93</v>
      </c>
      <c r="G13" s="239">
        <v>32510</v>
      </c>
      <c r="H13" s="31">
        <v>4822</v>
      </c>
      <c r="I13" s="235">
        <f t="shared" si="3"/>
        <v>13.422791081750619</v>
      </c>
      <c r="J13" s="31">
        <v>1516</v>
      </c>
      <c r="K13" s="241">
        <v>2422</v>
      </c>
      <c r="M13" s="25" t="s">
        <v>8</v>
      </c>
      <c r="N13" s="26">
        <v>1.05</v>
      </c>
      <c r="O13" s="27" t="s">
        <v>56</v>
      </c>
      <c r="P13" s="27" t="s">
        <v>32</v>
      </c>
      <c r="Q13" s="28">
        <v>9930</v>
      </c>
      <c r="R13" s="27">
        <v>786</v>
      </c>
      <c r="S13" s="159">
        <f>SUM(Q13/R13)</f>
        <v>12.633587786259541</v>
      </c>
      <c r="T13" s="3">
        <v>289</v>
      </c>
      <c r="U13" s="3"/>
      <c r="V13" s="25" t="s">
        <v>8</v>
      </c>
      <c r="W13" s="26">
        <v>2.1</v>
      </c>
      <c r="X13" s="26" t="s">
        <v>6</v>
      </c>
      <c r="Y13" s="27" t="s">
        <v>32</v>
      </c>
      <c r="Z13" s="28">
        <v>21210</v>
      </c>
      <c r="AA13" s="27">
        <v>2368</v>
      </c>
      <c r="AB13" s="177">
        <f>SUM(Z13/AA13)</f>
        <v>8.9569256756756754</v>
      </c>
      <c r="AC13" s="22">
        <v>1476</v>
      </c>
    </row>
    <row r="14" spans="1:29" ht="19" thickBot="1">
      <c r="A14" s="288"/>
      <c r="B14" s="273"/>
      <c r="C14" s="39" t="s">
        <v>89</v>
      </c>
      <c r="D14" s="39">
        <v>1.45</v>
      </c>
      <c r="E14" s="39" t="s">
        <v>5</v>
      </c>
      <c r="F14" s="277" t="s">
        <v>94</v>
      </c>
      <c r="G14" s="41">
        <v>16030</v>
      </c>
      <c r="H14" s="277">
        <v>2410</v>
      </c>
      <c r="I14" s="278">
        <f t="shared" si="3"/>
        <v>13.302904564315353</v>
      </c>
      <c r="J14" s="39">
        <v>603</v>
      </c>
      <c r="K14" s="279">
        <v>1205</v>
      </c>
      <c r="M14" s="25"/>
      <c r="N14" s="26"/>
      <c r="O14" s="27"/>
      <c r="P14" s="27"/>
      <c r="Q14" s="28"/>
      <c r="R14" s="27"/>
      <c r="S14" s="159"/>
      <c r="T14" s="3"/>
      <c r="U14" s="3"/>
      <c r="V14" s="25" t="s">
        <v>6</v>
      </c>
      <c r="W14" s="26">
        <v>1.45</v>
      </c>
      <c r="X14" s="27" t="s">
        <v>5</v>
      </c>
      <c r="Y14" s="27" t="s">
        <v>32</v>
      </c>
      <c r="Z14" s="28">
        <v>15280</v>
      </c>
      <c r="AA14" s="27">
        <v>1205</v>
      </c>
      <c r="AB14" s="177">
        <f t="shared" si="5"/>
        <v>12.680497925311203</v>
      </c>
      <c r="AC14" s="22">
        <v>603</v>
      </c>
    </row>
    <row r="15" spans="1:29" ht="19" thickBot="1">
      <c r="A15" s="286">
        <v>44344</v>
      </c>
      <c r="B15" s="259">
        <v>0.71180555555555547</v>
      </c>
      <c r="C15" s="223" t="s">
        <v>5</v>
      </c>
      <c r="D15" s="247">
        <v>0.78472222222222221</v>
      </c>
      <c r="E15" s="223" t="s">
        <v>8</v>
      </c>
      <c r="F15" s="224" t="s">
        <v>93</v>
      </c>
      <c r="G15" s="246">
        <v>35350</v>
      </c>
      <c r="H15" s="224">
        <f>SUM(K15)*2</f>
        <v>3634</v>
      </c>
      <c r="I15" s="243">
        <f t="shared" si="3"/>
        <v>19.455145844799119</v>
      </c>
      <c r="J15" s="223">
        <v>1062</v>
      </c>
      <c r="K15" s="244">
        <v>1817</v>
      </c>
      <c r="M15" s="25"/>
      <c r="N15" s="26"/>
      <c r="O15" s="27"/>
      <c r="P15" s="27"/>
      <c r="Q15" s="28"/>
      <c r="R15" s="40"/>
      <c r="S15" s="159"/>
      <c r="T15" s="3"/>
      <c r="U15" s="3"/>
      <c r="V15" s="25"/>
      <c r="W15" s="26"/>
      <c r="X15" s="27"/>
      <c r="Y15" s="27"/>
      <c r="Z15" s="28"/>
      <c r="AA15" s="40"/>
      <c r="AB15" s="159"/>
      <c r="AC15" s="22"/>
    </row>
    <row r="16" spans="1:29" ht="20" thickTop="1" thickBot="1">
      <c r="A16" s="286"/>
      <c r="B16" s="260">
        <v>0.83333333333333337</v>
      </c>
      <c r="C16" s="14" t="s">
        <v>8</v>
      </c>
      <c r="D16" s="249">
        <v>0.94444444444444453</v>
      </c>
      <c r="E16" s="14" t="s">
        <v>89</v>
      </c>
      <c r="F16" s="251" t="s">
        <v>94</v>
      </c>
      <c r="G16" s="240">
        <v>23560</v>
      </c>
      <c r="H16" s="251">
        <f>SUM(K16)*2</f>
        <v>3752</v>
      </c>
      <c r="I16" s="16">
        <f t="shared" ref="I16" si="6">SUM(G16/K16)</f>
        <v>12.558635394456291</v>
      </c>
      <c r="J16" s="14">
        <v>1107</v>
      </c>
      <c r="K16" s="252">
        <v>1876</v>
      </c>
      <c r="M16" s="80" t="s">
        <v>29</v>
      </c>
      <c r="N16" s="81">
        <f>SUM(N11:N15)</f>
        <v>4.5999999999999996</v>
      </c>
      <c r="O16" s="82" t="s">
        <v>39</v>
      </c>
      <c r="P16" s="43"/>
      <c r="Q16" s="44">
        <f>SUM(Q11:Q15)</f>
        <v>57270</v>
      </c>
      <c r="R16" s="43">
        <f>SUM(R11:R15)</f>
        <v>4628</v>
      </c>
      <c r="S16" s="160">
        <f t="shared" ref="S16" si="7">SUM(Q16/R16)</f>
        <v>12.374675885911842</v>
      </c>
      <c r="T16" s="3">
        <f>SUM(T11:T15)</f>
        <v>2570</v>
      </c>
      <c r="U16" s="3"/>
      <c r="V16" s="80" t="s">
        <v>29</v>
      </c>
      <c r="W16" s="81">
        <f>SUM(W11:W15)</f>
        <v>7.95</v>
      </c>
      <c r="X16" s="82" t="s">
        <v>39</v>
      </c>
      <c r="Y16" s="43"/>
      <c r="Z16" s="44">
        <f>SUM(Z11:Z15)</f>
        <v>89160</v>
      </c>
      <c r="AA16" s="43">
        <f>SUM(AA11:AA15)</f>
        <v>8363</v>
      </c>
      <c r="AB16" s="160">
        <f>SUM(Z16/AA16)</f>
        <v>10.661245964366854</v>
      </c>
      <c r="AC16" s="23">
        <f>SUM(AC9:AC15)</f>
        <v>5071</v>
      </c>
    </row>
    <row r="17" spans="1:30">
      <c r="A17" s="287">
        <v>44345</v>
      </c>
      <c r="B17" s="259">
        <v>0.33333333333333331</v>
      </c>
      <c r="C17" s="31" t="s">
        <v>89</v>
      </c>
      <c r="D17" s="254">
        <v>0.43402777777777773</v>
      </c>
      <c r="E17" s="31" t="s">
        <v>8</v>
      </c>
      <c r="F17" s="239" t="s">
        <v>94</v>
      </c>
      <c r="G17" s="33">
        <v>23560</v>
      </c>
      <c r="H17" s="239">
        <f>SUM(K17)*2</f>
        <v>3752</v>
      </c>
      <c r="I17" s="235">
        <f t="shared" si="3"/>
        <v>12.558635394456291</v>
      </c>
      <c r="J17" s="31">
        <v>1107</v>
      </c>
      <c r="K17" s="241">
        <v>1876</v>
      </c>
      <c r="M17" s="173"/>
      <c r="N17" s="158"/>
      <c r="O17" s="158"/>
      <c r="P17" s="22"/>
      <c r="Q17" s="158"/>
      <c r="R17" s="83"/>
      <c r="S17" s="83"/>
      <c r="T17" s="1"/>
      <c r="U17" s="1"/>
      <c r="V17" s="1"/>
      <c r="W17" s="1"/>
      <c r="X17" s="1"/>
      <c r="AC17" s="23"/>
    </row>
    <row r="18" spans="1:30" ht="19" thickBot="1">
      <c r="A18" s="287"/>
      <c r="B18" s="261">
        <v>0.47569444444444442</v>
      </c>
      <c r="C18" s="26" t="s">
        <v>8</v>
      </c>
      <c r="D18" s="248">
        <v>0.59722222222222221</v>
      </c>
      <c r="E18" s="26" t="s">
        <v>89</v>
      </c>
      <c r="F18" s="250" t="s">
        <v>94</v>
      </c>
      <c r="G18" s="28">
        <v>23560</v>
      </c>
      <c r="H18" s="250">
        <f t="shared" ref="H18" si="8">SUM(K18)*2</f>
        <v>3752</v>
      </c>
      <c r="I18" s="227">
        <f>SUM(G18/H18)</f>
        <v>6.2793176972281453</v>
      </c>
      <c r="J18" s="26">
        <v>1107</v>
      </c>
      <c r="K18" s="228">
        <v>1876</v>
      </c>
      <c r="M18" s="173">
        <v>44315</v>
      </c>
      <c r="N18" s="158"/>
      <c r="O18" s="158"/>
      <c r="P18" s="22"/>
      <c r="Q18" s="158"/>
      <c r="U18" s="1"/>
      <c r="V18" s="1"/>
      <c r="W18" s="1"/>
      <c r="X18" s="1"/>
      <c r="Z18" s="219" t="s">
        <v>85</v>
      </c>
      <c r="AA18" s="220"/>
      <c r="AB18" s="220">
        <f>SUM(R16+AA16+R32+AA36)</f>
        <v>31191</v>
      </c>
      <c r="AC18" s="23"/>
    </row>
    <row r="19" spans="1:30" ht="19" thickBot="1">
      <c r="A19" s="287"/>
      <c r="B19" s="261">
        <v>0.61805555555555558</v>
      </c>
      <c r="C19" s="26" t="s">
        <v>89</v>
      </c>
      <c r="D19" s="248">
        <v>0.71875</v>
      </c>
      <c r="E19" s="26" t="s">
        <v>8</v>
      </c>
      <c r="F19" s="250" t="s">
        <v>94</v>
      </c>
      <c r="G19" s="28">
        <v>23560</v>
      </c>
      <c r="H19" s="250">
        <f t="shared" ref="H19" si="9">SUM(K19)*2</f>
        <v>3752</v>
      </c>
      <c r="I19" s="227">
        <f>SUM(G19/H19)</f>
        <v>6.2793176972281453</v>
      </c>
      <c r="J19" s="26">
        <v>1107</v>
      </c>
      <c r="K19" s="228">
        <v>1876</v>
      </c>
      <c r="M19" s="283" t="s">
        <v>47</v>
      </c>
      <c r="N19" s="284"/>
      <c r="O19" s="284"/>
      <c r="P19" s="284"/>
      <c r="Q19" s="284"/>
      <c r="R19" s="284"/>
      <c r="S19" s="285"/>
      <c r="T19" s="22"/>
      <c r="U19" s="1"/>
      <c r="Z19" s="219" t="s">
        <v>86</v>
      </c>
      <c r="AA19" s="220"/>
      <c r="AB19" s="220">
        <f>SUM(T16+AC16+T32+AC36)</f>
        <v>12972</v>
      </c>
      <c r="AC19" s="22"/>
    </row>
    <row r="20" spans="1:30" ht="19" thickBot="1">
      <c r="A20" s="287"/>
      <c r="B20" s="262">
        <v>0.75</v>
      </c>
      <c r="C20" s="230" t="s">
        <v>8</v>
      </c>
      <c r="D20" s="257">
        <v>0.82986111111111116</v>
      </c>
      <c r="E20" s="230" t="s">
        <v>5</v>
      </c>
      <c r="F20" s="258" t="s">
        <v>94</v>
      </c>
      <c r="G20" s="232">
        <v>21350</v>
      </c>
      <c r="H20" s="258">
        <f t="shared" ref="H20" si="10">SUM(K20)*2</f>
        <v>2500</v>
      </c>
      <c r="I20" s="233">
        <f>SUM(G20/H20)</f>
        <v>8.5399999999999991</v>
      </c>
      <c r="J20" s="230">
        <v>637</v>
      </c>
      <c r="K20" s="234">
        <v>1250</v>
      </c>
      <c r="M20" s="280">
        <v>44315</v>
      </c>
      <c r="N20" s="105">
        <v>0.30555555555555552</v>
      </c>
      <c r="O20" s="105" t="s">
        <v>5</v>
      </c>
      <c r="P20" s="106" t="s">
        <v>28</v>
      </c>
      <c r="Q20" s="105">
        <v>0.37152777777777773</v>
      </c>
      <c r="R20" s="107" t="s">
        <v>6</v>
      </c>
      <c r="S20" s="108"/>
      <c r="T20" s="22"/>
      <c r="Z20" s="219" t="s">
        <v>2</v>
      </c>
      <c r="AA20" s="219"/>
      <c r="AB20" s="222">
        <f>SUM(Q16+Z16+Q32+Z36)</f>
        <v>275590</v>
      </c>
      <c r="AC20" t="s">
        <v>91</v>
      </c>
    </row>
    <row r="21" spans="1:30" ht="19" thickTop="1">
      <c r="C21" s="22"/>
      <c r="D21" s="22"/>
      <c r="E21" s="23"/>
      <c r="F21" s="23"/>
      <c r="G21" s="24">
        <f>SUM(G3:G20)</f>
        <v>426530</v>
      </c>
      <c r="H21" s="24">
        <f>SUM(H3:H20)</f>
        <v>52333</v>
      </c>
      <c r="I21" s="256">
        <f>SUM(G21/H21)</f>
        <v>8.1503066898515275</v>
      </c>
      <c r="J21" s="24">
        <f>SUM(J3:J20)</f>
        <v>19099</v>
      </c>
      <c r="K21" s="24">
        <f>SUM(K3:K20)</f>
        <v>19682</v>
      </c>
      <c r="M21" s="281"/>
      <c r="N21" s="165">
        <v>0.4201388888888889</v>
      </c>
      <c r="O21" s="165" t="s">
        <v>6</v>
      </c>
      <c r="P21" s="166" t="s">
        <v>28</v>
      </c>
      <c r="Q21" s="165">
        <v>0.51736111111111105</v>
      </c>
      <c r="R21" s="167" t="s">
        <v>8</v>
      </c>
      <c r="S21" s="168"/>
      <c r="T21" s="22"/>
      <c r="Z21" s="219" t="s">
        <v>4</v>
      </c>
      <c r="AA21" s="219"/>
      <c r="AB21" s="221">
        <f>SUM(AB20/AB18)</f>
        <v>8.8355615401878751</v>
      </c>
    </row>
    <row r="22" spans="1:30" ht="19" thickBot="1">
      <c r="C22" s="22"/>
      <c r="D22" s="22"/>
      <c r="E22" s="23"/>
      <c r="F22" s="263" t="s">
        <v>102</v>
      </c>
      <c r="G22" s="264">
        <v>-360940</v>
      </c>
      <c r="H22" s="23"/>
      <c r="I22" s="65"/>
      <c r="J22" s="22"/>
      <c r="M22" s="281"/>
      <c r="N22" s="169">
        <v>0.75</v>
      </c>
      <c r="O22" s="169" t="s">
        <v>8</v>
      </c>
      <c r="P22" s="170" t="s">
        <v>28</v>
      </c>
      <c r="Q22" s="169">
        <v>0.79166666666666663</v>
      </c>
      <c r="R22" s="171" t="s">
        <v>56</v>
      </c>
      <c r="S22" s="172"/>
      <c r="T22" s="23"/>
      <c r="V22" s="173">
        <v>44319</v>
      </c>
      <c r="W22" s="158"/>
      <c r="X22" s="158"/>
      <c r="Y22" s="22"/>
      <c r="Z22" s="158"/>
      <c r="AD22" s="1"/>
    </row>
    <row r="23" spans="1:30" ht="19" thickBot="1">
      <c r="C23" s="22"/>
      <c r="D23" s="22"/>
      <c r="E23" s="23"/>
      <c r="F23" s="265" t="s">
        <v>103</v>
      </c>
      <c r="G23" s="24">
        <f>SUM(G21:G22)</f>
        <v>65590</v>
      </c>
      <c r="H23" s="23"/>
      <c r="I23" s="65"/>
      <c r="J23" s="22"/>
      <c r="M23" s="281"/>
      <c r="N23" s="169"/>
      <c r="O23" s="169"/>
      <c r="P23" s="170"/>
      <c r="Q23" s="169"/>
      <c r="R23" s="171"/>
      <c r="S23" s="172"/>
      <c r="T23" s="23"/>
      <c r="V23" s="283" t="s">
        <v>47</v>
      </c>
      <c r="W23" s="284"/>
      <c r="X23" s="284"/>
      <c r="Y23" s="284"/>
      <c r="Z23" s="284"/>
      <c r="AA23" s="284"/>
      <c r="AB23" s="285"/>
      <c r="AC23" s="22"/>
      <c r="AD23" s="1"/>
    </row>
    <row r="24" spans="1:30" ht="19" thickBot="1">
      <c r="C24" s="22"/>
      <c r="D24" s="22"/>
      <c r="E24" s="23"/>
      <c r="F24" s="263"/>
      <c r="G24" s="24"/>
      <c r="H24" s="23"/>
      <c r="I24" s="65"/>
      <c r="J24" s="22"/>
      <c r="M24" s="282"/>
      <c r="N24" s="118"/>
      <c r="O24" s="118"/>
      <c r="P24" s="119"/>
      <c r="Q24" s="118"/>
      <c r="R24" s="174"/>
      <c r="S24" s="175"/>
      <c r="T24" s="23"/>
      <c r="V24" s="280">
        <v>44319</v>
      </c>
      <c r="W24" s="105">
        <v>0.4826388888888889</v>
      </c>
      <c r="X24" s="105" t="s">
        <v>56</v>
      </c>
      <c r="Y24" s="106" t="s">
        <v>28</v>
      </c>
      <c r="Z24" s="105">
        <v>0.57986111111111105</v>
      </c>
      <c r="AA24" s="107" t="s">
        <v>89</v>
      </c>
      <c r="AB24" s="108"/>
      <c r="AC24" s="22"/>
    </row>
    <row r="25" spans="1:30" ht="19" thickBot="1">
      <c r="C25" s="283" t="s">
        <v>47</v>
      </c>
      <c r="D25" s="284"/>
      <c r="E25" s="284"/>
      <c r="F25" s="284"/>
      <c r="G25" s="284"/>
      <c r="H25" s="284"/>
      <c r="I25" s="285"/>
      <c r="J25" s="23"/>
      <c r="M25" s="173">
        <v>44315</v>
      </c>
      <c r="N25" s="22"/>
      <c r="O25" s="23"/>
      <c r="P25" s="24"/>
      <c r="R25" s="22"/>
      <c r="S25" s="22"/>
      <c r="T25" s="22"/>
      <c r="V25" s="281"/>
      <c r="W25" s="165">
        <v>0.78819444444444453</v>
      </c>
      <c r="X25" s="165" t="s">
        <v>89</v>
      </c>
      <c r="Y25" s="166" t="s">
        <v>28</v>
      </c>
      <c r="Z25" s="165">
        <v>0.85763888888888884</v>
      </c>
      <c r="AA25" s="167" t="s">
        <v>5</v>
      </c>
      <c r="AB25" s="168"/>
      <c r="AC25" s="22"/>
    </row>
    <row r="26" spans="1:30" ht="19" thickBot="1">
      <c r="C26" s="280">
        <v>44344</v>
      </c>
      <c r="D26" s="247">
        <v>0.71180555555555547</v>
      </c>
      <c r="E26" s="247" t="s">
        <v>5</v>
      </c>
      <c r="F26" s="223" t="s">
        <v>28</v>
      </c>
      <c r="G26" s="247">
        <v>0.78472222222222221</v>
      </c>
      <c r="H26" s="246" t="s">
        <v>8</v>
      </c>
      <c r="I26" s="108" t="s">
        <v>96</v>
      </c>
      <c r="J26" s="22"/>
      <c r="M26" s="35" t="s">
        <v>0</v>
      </c>
      <c r="N26" s="36" t="s">
        <v>28</v>
      </c>
      <c r="O26" s="36" t="s">
        <v>1</v>
      </c>
      <c r="P26" s="36" t="s">
        <v>30</v>
      </c>
      <c r="Q26" s="36" t="s">
        <v>2</v>
      </c>
      <c r="R26" s="36" t="s">
        <v>3</v>
      </c>
      <c r="S26" s="161" t="s">
        <v>4</v>
      </c>
      <c r="T26" s="176" t="s">
        <v>50</v>
      </c>
      <c r="U26" s="22" t="s">
        <v>88</v>
      </c>
      <c r="V26" s="281"/>
      <c r="W26" s="169"/>
      <c r="X26" s="169"/>
      <c r="Y26" s="170"/>
      <c r="Z26" s="169"/>
      <c r="AA26" s="171"/>
      <c r="AB26" s="172"/>
      <c r="AC26" s="23"/>
    </row>
    <row r="27" spans="1:30" ht="19" thickBot="1">
      <c r="C27" s="282"/>
      <c r="D27" s="118">
        <v>0.83333333333333337</v>
      </c>
      <c r="E27" s="118" t="s">
        <v>97</v>
      </c>
      <c r="F27" s="119"/>
      <c r="G27" s="118">
        <v>0.94444444444444453</v>
      </c>
      <c r="H27" s="174" t="s">
        <v>98</v>
      </c>
      <c r="I27" s="175" t="s">
        <v>99</v>
      </c>
      <c r="J27" s="22"/>
      <c r="M27" s="163" t="s">
        <v>5</v>
      </c>
      <c r="N27" s="170">
        <v>1.45</v>
      </c>
      <c r="O27" s="170" t="s">
        <v>6</v>
      </c>
      <c r="P27" s="170" t="s">
        <v>9</v>
      </c>
      <c r="Q27" s="178">
        <v>26030</v>
      </c>
      <c r="R27" s="170">
        <v>3484</v>
      </c>
      <c r="S27" s="177">
        <f>SUM(Q27/R27)</f>
        <v>7.4712973593570604</v>
      </c>
      <c r="T27" s="22">
        <v>1006</v>
      </c>
      <c r="U27" s="22">
        <v>1742</v>
      </c>
      <c r="V27" s="281"/>
      <c r="W27" s="169"/>
      <c r="X27" s="169"/>
      <c r="Y27" s="170"/>
      <c r="Z27" s="169"/>
      <c r="AA27" s="171"/>
      <c r="AB27" s="172"/>
      <c r="AC27" s="23"/>
    </row>
    <row r="28" spans="1:30" ht="19" thickBot="1">
      <c r="C28" s="253"/>
      <c r="D28" s="254">
        <v>0.33333333333333331</v>
      </c>
      <c r="E28" s="254" t="s">
        <v>89</v>
      </c>
      <c r="F28" s="31" t="s">
        <v>28</v>
      </c>
      <c r="G28" s="254">
        <v>0.43402777777777773</v>
      </c>
      <c r="H28" s="33" t="s">
        <v>8</v>
      </c>
      <c r="I28" s="172"/>
      <c r="J28" s="22"/>
      <c r="K28" s="22"/>
      <c r="M28" s="25" t="s">
        <v>6</v>
      </c>
      <c r="N28" s="26">
        <v>2.1</v>
      </c>
      <c r="O28" s="26" t="s">
        <v>8</v>
      </c>
      <c r="P28" s="27" t="s">
        <v>9</v>
      </c>
      <c r="Q28" s="28">
        <v>37560</v>
      </c>
      <c r="R28" s="27">
        <v>5720</v>
      </c>
      <c r="S28" s="177">
        <f t="shared" ref="S28" si="11">SUM(Q28/R28)</f>
        <v>6.5664335664335667</v>
      </c>
      <c r="T28" s="22">
        <v>1845</v>
      </c>
      <c r="U28" s="22">
        <v>2860</v>
      </c>
      <c r="V28" s="282"/>
      <c r="W28" s="118"/>
      <c r="X28" s="118"/>
      <c r="Y28" s="119"/>
      <c r="Z28" s="118"/>
      <c r="AA28" s="174"/>
      <c r="AB28" s="175"/>
      <c r="AC28" s="23"/>
    </row>
    <row r="29" spans="1:30" ht="19" thickBot="1">
      <c r="C29" s="253"/>
      <c r="D29" s="248">
        <v>0.47569444444444442</v>
      </c>
      <c r="E29" s="248" t="s">
        <v>8</v>
      </c>
      <c r="F29" s="26" t="s">
        <v>28</v>
      </c>
      <c r="G29" s="248">
        <v>0.59722222222222221</v>
      </c>
      <c r="H29" s="28" t="s">
        <v>89</v>
      </c>
      <c r="I29" s="172"/>
      <c r="J29" s="22"/>
      <c r="K29" s="22"/>
      <c r="M29" s="25" t="s">
        <v>8</v>
      </c>
      <c r="N29" s="26">
        <v>1.05</v>
      </c>
      <c r="O29" s="26" t="s">
        <v>56</v>
      </c>
      <c r="P29" s="27" t="s">
        <v>9</v>
      </c>
      <c r="Q29" s="28">
        <v>17030</v>
      </c>
      <c r="R29" s="27">
        <v>1764</v>
      </c>
      <c r="S29" s="177">
        <f>SUM(Q29/R29)</f>
        <v>9.6541950113378689</v>
      </c>
      <c r="T29" s="22">
        <v>361</v>
      </c>
      <c r="U29" s="22">
        <v>882</v>
      </c>
      <c r="V29" s="173">
        <v>44319</v>
      </c>
      <c r="W29" s="22"/>
      <c r="X29" s="23"/>
      <c r="Y29" s="24"/>
      <c r="AA29" s="22"/>
      <c r="AB29" s="22"/>
      <c r="AC29" s="22"/>
    </row>
    <row r="30" spans="1:30" ht="19" thickBot="1">
      <c r="C30" s="163"/>
      <c r="D30" s="248">
        <v>0.61805555555555558</v>
      </c>
      <c r="E30" s="248" t="s">
        <v>89</v>
      </c>
      <c r="F30" s="26"/>
      <c r="G30" s="248">
        <v>0.71875</v>
      </c>
      <c r="H30" s="28" t="s">
        <v>8</v>
      </c>
      <c r="I30" s="172"/>
      <c r="J30" s="22"/>
      <c r="K30" s="22"/>
      <c r="M30" s="25"/>
      <c r="N30" s="26"/>
      <c r="O30" s="27"/>
      <c r="P30" s="27"/>
      <c r="Q30" s="28"/>
      <c r="R30" s="27"/>
      <c r="S30" s="177"/>
      <c r="T30" s="22"/>
      <c r="V30" s="35" t="s">
        <v>0</v>
      </c>
      <c r="W30" s="36" t="s">
        <v>28</v>
      </c>
      <c r="X30" s="36" t="s">
        <v>1</v>
      </c>
      <c r="Y30" s="36" t="s">
        <v>30</v>
      </c>
      <c r="Z30" s="36" t="s">
        <v>2</v>
      </c>
      <c r="AA30" s="36" t="s">
        <v>3</v>
      </c>
      <c r="AB30" s="161" t="s">
        <v>4</v>
      </c>
      <c r="AC30" s="176" t="s">
        <v>50</v>
      </c>
      <c r="AD30" s="22" t="s">
        <v>88</v>
      </c>
    </row>
    <row r="31" spans="1:30" ht="19" thickBot="1">
      <c r="C31" s="117"/>
      <c r="D31" s="249">
        <v>0.75694444444444453</v>
      </c>
      <c r="E31" s="249" t="s">
        <v>8</v>
      </c>
      <c r="F31" s="14"/>
      <c r="G31" s="249">
        <v>0.86805555555555547</v>
      </c>
      <c r="H31" s="240" t="s">
        <v>89</v>
      </c>
      <c r="I31" s="175"/>
      <c r="J31" s="22"/>
      <c r="K31" s="22"/>
      <c r="M31" s="25"/>
      <c r="N31" s="26"/>
      <c r="O31" s="27"/>
      <c r="P31" s="27"/>
      <c r="Q31" s="28"/>
      <c r="R31" s="40"/>
      <c r="S31" s="159"/>
      <c r="T31" s="22"/>
      <c r="V31" s="163" t="s">
        <v>56</v>
      </c>
      <c r="W31" s="170"/>
      <c r="X31" s="170" t="s">
        <v>89</v>
      </c>
      <c r="Y31" s="170" t="s">
        <v>9</v>
      </c>
      <c r="Z31" s="178">
        <v>32510</v>
      </c>
      <c r="AA31" s="170">
        <v>4822</v>
      </c>
      <c r="AB31" s="177">
        <f>SUM(Z31/AA31)</f>
        <v>6.7420157610949811</v>
      </c>
      <c r="AC31" s="22">
        <v>1516</v>
      </c>
      <c r="AD31" s="22">
        <v>2422</v>
      </c>
    </row>
    <row r="32" spans="1:30" ht="20" thickTop="1" thickBot="1">
      <c r="C32" s="117"/>
      <c r="D32" s="249">
        <v>0.75694444444444453</v>
      </c>
      <c r="E32" s="249" t="s">
        <v>89</v>
      </c>
      <c r="F32" s="14"/>
      <c r="G32" s="249">
        <v>0.86805555555555547</v>
      </c>
      <c r="H32" s="240" t="s">
        <v>5</v>
      </c>
      <c r="I32" s="175"/>
      <c r="J32" s="223">
        <v>1653</v>
      </c>
      <c r="K32" s="244">
        <v>2605</v>
      </c>
      <c r="M32" s="80" t="s">
        <v>29</v>
      </c>
      <c r="N32" s="81">
        <f>SUM(N27:N31)</f>
        <v>4.5999999999999996</v>
      </c>
      <c r="O32" s="82" t="s">
        <v>39</v>
      </c>
      <c r="P32" s="43"/>
      <c r="Q32" s="44">
        <f>SUM(Q27:Q31)</f>
        <v>80620</v>
      </c>
      <c r="R32" s="43">
        <f>SUM(R27:R31)</f>
        <v>10968</v>
      </c>
      <c r="S32" s="160">
        <f>SUM(Q32/R32)</f>
        <v>7.3504741064916121</v>
      </c>
      <c r="T32" s="23">
        <f>SUM(T25:T31)</f>
        <v>3212</v>
      </c>
      <c r="V32" s="25" t="s">
        <v>89</v>
      </c>
      <c r="W32" s="26"/>
      <c r="X32" s="26" t="s">
        <v>5</v>
      </c>
      <c r="Y32" s="27" t="s">
        <v>32</v>
      </c>
      <c r="Z32" s="28">
        <v>16030</v>
      </c>
      <c r="AA32" s="27">
        <v>2410</v>
      </c>
      <c r="AB32" s="177">
        <f t="shared" ref="AB32" si="12">SUM(Z32/AA32)</f>
        <v>6.6514522821576767</v>
      </c>
      <c r="AC32" s="22">
        <v>603</v>
      </c>
      <c r="AD32" s="22">
        <v>1205</v>
      </c>
    </row>
    <row r="33" spans="3:30" ht="19" thickBot="1">
      <c r="C33" s="22"/>
      <c r="D33" s="22"/>
      <c r="E33" s="23"/>
      <c r="F33" s="23"/>
      <c r="G33" s="24"/>
      <c r="H33" s="23"/>
      <c r="I33" s="65"/>
      <c r="J33" s="26">
        <v>1653</v>
      </c>
      <c r="K33" s="228">
        <v>2605</v>
      </c>
      <c r="V33" s="25"/>
      <c r="W33" s="26"/>
      <c r="X33" s="26"/>
      <c r="Y33" s="27"/>
      <c r="Z33" s="28"/>
      <c r="AA33" s="27"/>
      <c r="AB33" s="177"/>
      <c r="AC33" s="22"/>
      <c r="AD33" s="22"/>
    </row>
    <row r="34" spans="3:30" ht="19" thickBot="1">
      <c r="C34" s="242" t="s">
        <v>5</v>
      </c>
      <c r="D34" s="223"/>
      <c r="E34" s="223" t="s">
        <v>95</v>
      </c>
      <c r="F34" s="245" t="s">
        <v>93</v>
      </c>
      <c r="G34" s="246">
        <v>43480</v>
      </c>
      <c r="H34" s="245">
        <f>SUM(K32)*2</f>
        <v>5210</v>
      </c>
      <c r="I34" s="243">
        <f>SUM(G34/K32)</f>
        <v>16.690978886756238</v>
      </c>
      <c r="J34" s="230">
        <v>1006</v>
      </c>
      <c r="K34" s="234">
        <v>1742</v>
      </c>
      <c r="V34" s="25"/>
      <c r="W34" s="26"/>
      <c r="X34" s="27"/>
      <c r="Y34" s="27"/>
      <c r="Z34" s="28"/>
      <c r="AA34" s="27"/>
      <c r="AB34" s="177"/>
      <c r="AC34" s="22"/>
    </row>
    <row r="35" spans="3:30" ht="20" thickTop="1" thickBot="1">
      <c r="C35" s="226" t="s">
        <v>95</v>
      </c>
      <c r="D35" s="26"/>
      <c r="E35" s="26" t="s">
        <v>5</v>
      </c>
      <c r="F35" s="27" t="s">
        <v>93</v>
      </c>
      <c r="G35" s="28">
        <v>43480</v>
      </c>
      <c r="H35" s="27">
        <f t="shared" ref="H35" si="13">SUM(K33)*2</f>
        <v>5210</v>
      </c>
      <c r="I35" s="227">
        <f>SUM(G35/K33)</f>
        <v>16.690978886756238</v>
      </c>
      <c r="J35" s="22"/>
      <c r="V35" s="25"/>
      <c r="W35" s="26"/>
      <c r="X35" s="27"/>
      <c r="Y35" s="27"/>
      <c r="Z35" s="28"/>
      <c r="AA35" s="40"/>
      <c r="AB35" s="159"/>
      <c r="AC35" s="22"/>
    </row>
    <row r="36" spans="3:30" ht="20" thickTop="1" thickBot="1">
      <c r="C36" s="229" t="s">
        <v>89</v>
      </c>
      <c r="D36" s="230"/>
      <c r="E36" s="230" t="s">
        <v>5</v>
      </c>
      <c r="F36" s="231" t="s">
        <v>93</v>
      </c>
      <c r="G36" s="232">
        <v>26030</v>
      </c>
      <c r="H36" s="231">
        <f>SUM(K34)*2</f>
        <v>3484</v>
      </c>
      <c r="I36" s="233">
        <f>SUM(G36/K34)</f>
        <v>14.942594718714121</v>
      </c>
      <c r="J36" s="22"/>
      <c r="K36" s="22"/>
      <c r="V36" s="80" t="s">
        <v>29</v>
      </c>
      <c r="W36" s="81">
        <f>SUM(W31:W35)</f>
        <v>0</v>
      </c>
      <c r="X36" s="82" t="s">
        <v>39</v>
      </c>
      <c r="Y36" s="43"/>
      <c r="Z36" s="44">
        <f>SUM(Z31:Z35)</f>
        <v>48540</v>
      </c>
      <c r="AA36" s="43">
        <f>SUM(AA31:AA35)</f>
        <v>7232</v>
      </c>
      <c r="AB36" s="160">
        <f>SUM(Z36/AA36)</f>
        <v>6.7118362831858409</v>
      </c>
      <c r="AC36" s="23">
        <f>SUM(AC29:AC35)</f>
        <v>2119</v>
      </c>
    </row>
    <row r="37" spans="3:30" ht="20" thickTop="1" thickBot="1">
      <c r="C37" s="22"/>
      <c r="D37" s="22"/>
      <c r="E37" s="22"/>
      <c r="F37" s="22"/>
      <c r="G37" s="22"/>
      <c r="H37" s="22"/>
      <c r="I37" s="65"/>
      <c r="J37" s="22"/>
      <c r="K37" s="22"/>
    </row>
    <row r="38" spans="3:30" ht="19" thickBot="1">
      <c r="C38" s="283" t="s">
        <v>47</v>
      </c>
      <c r="D38" s="284"/>
      <c r="E38" s="284"/>
      <c r="F38" s="284"/>
      <c r="G38" s="284"/>
      <c r="H38" s="284"/>
      <c r="I38" s="285"/>
      <c r="J38" s="22"/>
      <c r="K38" s="22"/>
    </row>
    <row r="39" spans="3:30">
      <c r="C39" s="280"/>
      <c r="D39" s="105">
        <v>0.4513888888888889</v>
      </c>
      <c r="E39" s="105" t="s">
        <v>5</v>
      </c>
      <c r="F39" s="106" t="s">
        <v>28</v>
      </c>
      <c r="G39" s="105">
        <v>0.54513888888888895</v>
      </c>
      <c r="H39" s="107" t="s">
        <v>95</v>
      </c>
      <c r="I39" s="108"/>
      <c r="J39" s="22"/>
      <c r="K39" s="22"/>
    </row>
    <row r="40" spans="3:30">
      <c r="C40" s="281"/>
      <c r="D40" s="165">
        <v>0.58680555555555558</v>
      </c>
      <c r="E40" s="165" t="s">
        <v>95</v>
      </c>
      <c r="F40" s="166" t="s">
        <v>28</v>
      </c>
      <c r="G40" s="165">
        <v>0.69444444444444453</v>
      </c>
      <c r="H40" s="167" t="s">
        <v>5</v>
      </c>
      <c r="I40" s="168"/>
      <c r="J40" s="22"/>
    </row>
    <row r="41" spans="3:30">
      <c r="C41" s="281"/>
      <c r="D41" s="169"/>
      <c r="E41" s="169"/>
      <c r="F41" s="170"/>
      <c r="G41" s="169"/>
      <c r="H41" s="171"/>
      <c r="I41" s="172"/>
      <c r="J41" s="23"/>
    </row>
    <row r="42" spans="3:30">
      <c r="C42" s="163"/>
      <c r="D42" s="169"/>
      <c r="E42" s="169"/>
      <c r="F42" s="170"/>
      <c r="G42" s="169"/>
      <c r="H42" s="171"/>
      <c r="I42" s="172"/>
    </row>
    <row r="43" spans="3:30" ht="19" thickBot="1">
      <c r="C43" s="117"/>
      <c r="D43" s="118"/>
      <c r="E43" s="118"/>
      <c r="F43" s="119"/>
      <c r="G43" s="118"/>
      <c r="H43" s="174"/>
      <c r="I43" s="175"/>
    </row>
  </sheetData>
  <mergeCells count="18">
    <mergeCell ref="C38:I38"/>
    <mergeCell ref="C39:C41"/>
    <mergeCell ref="A2:A5"/>
    <mergeCell ref="A6:A9"/>
    <mergeCell ref="A10:A12"/>
    <mergeCell ref="A13:A14"/>
    <mergeCell ref="M3:S3"/>
    <mergeCell ref="V3:AB3"/>
    <mergeCell ref="M4:M6"/>
    <mergeCell ref="V4:V8"/>
    <mergeCell ref="M19:S19"/>
    <mergeCell ref="M20:M24"/>
    <mergeCell ref="V23:AB23"/>
    <mergeCell ref="V24:V28"/>
    <mergeCell ref="A15:A16"/>
    <mergeCell ref="C26:C27"/>
    <mergeCell ref="A17:A20"/>
    <mergeCell ref="C25:I25"/>
  </mergeCells>
  <phoneticPr fontId="2"/>
  <pageMargins left="0.7" right="0.7" top="0.75" bottom="0.75" header="0.3" footer="0.3"/>
  <pageSetup paperSize="9" scale="83" orientation="portrait" r:id="rId1"/>
  <colBreaks count="1" manualBreakCount="1">
    <brk id="1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D0A8-36FF-4124-8871-7A7200CF5547}">
  <dimension ref="A2:R36"/>
  <sheetViews>
    <sheetView zoomScale="85" zoomScaleNormal="85" workbookViewId="0">
      <selection activeCell="K28" sqref="K28"/>
    </sheetView>
  </sheetViews>
  <sheetFormatPr baseColWidth="10" defaultColWidth="8.83203125" defaultRowHeight="18"/>
  <cols>
    <col min="16" max="16" width="10.33203125" bestFit="1" customWidth="1"/>
  </cols>
  <sheetData>
    <row r="2" spans="1:17" ht="19" thickBot="1">
      <c r="A2" s="173">
        <v>44211</v>
      </c>
      <c r="B2" s="22"/>
      <c r="C2" s="64"/>
      <c r="D2" s="64"/>
      <c r="E2" s="65"/>
      <c r="F2" s="65"/>
      <c r="G2" s="64"/>
      <c r="H2" s="23"/>
      <c r="I2" s="23"/>
      <c r="J2" s="173">
        <v>44218</v>
      </c>
      <c r="K2" s="158"/>
      <c r="L2" s="158"/>
      <c r="M2" s="22"/>
      <c r="N2" s="158"/>
    </row>
    <row r="3" spans="1:17" ht="19" thickBot="1">
      <c r="A3" s="283" t="s">
        <v>47</v>
      </c>
      <c r="B3" s="284"/>
      <c r="C3" s="284"/>
      <c r="D3" s="284"/>
      <c r="E3" s="284"/>
      <c r="F3" s="284"/>
      <c r="G3" s="285"/>
      <c r="H3" s="22"/>
      <c r="I3" s="22"/>
      <c r="J3" s="283" t="s">
        <v>47</v>
      </c>
      <c r="K3" s="284"/>
      <c r="L3" s="284"/>
      <c r="M3" s="284"/>
      <c r="N3" s="284"/>
      <c r="O3" s="284"/>
      <c r="P3" s="285"/>
      <c r="Q3" s="22"/>
    </row>
    <row r="4" spans="1:17">
      <c r="A4" s="280">
        <v>44211</v>
      </c>
      <c r="B4" s="105">
        <v>0.2951388888888889</v>
      </c>
      <c r="C4" s="105" t="s">
        <v>5</v>
      </c>
      <c r="D4" s="106" t="s">
        <v>28</v>
      </c>
      <c r="E4" s="105">
        <v>0.36805555555555558</v>
      </c>
      <c r="F4" s="107" t="s">
        <v>6</v>
      </c>
      <c r="G4" s="108"/>
      <c r="H4" s="22"/>
      <c r="I4" s="22"/>
      <c r="J4" s="280">
        <v>44218</v>
      </c>
      <c r="K4" s="105">
        <v>0.3611111111111111</v>
      </c>
      <c r="L4" s="105" t="s">
        <v>56</v>
      </c>
      <c r="M4" s="106" t="s">
        <v>28</v>
      </c>
      <c r="N4" s="105">
        <v>0.46527777777777773</v>
      </c>
      <c r="O4" s="107" t="s">
        <v>6</v>
      </c>
      <c r="P4" s="108"/>
      <c r="Q4" s="22"/>
    </row>
    <row r="5" spans="1:17">
      <c r="A5" s="281"/>
      <c r="B5" s="165">
        <v>0.46527777777777773</v>
      </c>
      <c r="C5" s="165" t="s">
        <v>6</v>
      </c>
      <c r="D5" s="166" t="s">
        <v>28</v>
      </c>
      <c r="E5" s="165">
        <v>0.55902777777777779</v>
      </c>
      <c r="F5" s="167" t="s">
        <v>8</v>
      </c>
      <c r="G5" s="168"/>
      <c r="H5" s="22"/>
      <c r="I5" s="22"/>
      <c r="J5" s="281"/>
      <c r="K5" s="165">
        <v>0.51388888888888895</v>
      </c>
      <c r="L5" s="165" t="s">
        <v>6</v>
      </c>
      <c r="M5" s="166" t="s">
        <v>28</v>
      </c>
      <c r="N5" s="165">
        <v>0.60763888888888895</v>
      </c>
      <c r="O5" s="167" t="s">
        <v>8</v>
      </c>
      <c r="P5" s="168"/>
      <c r="Q5" s="22"/>
    </row>
    <row r="6" spans="1:17">
      <c r="A6" s="281"/>
      <c r="B6" s="169">
        <v>0.73958333333333337</v>
      </c>
      <c r="C6" s="169" t="s">
        <v>8</v>
      </c>
      <c r="D6" s="170" t="s">
        <v>28</v>
      </c>
      <c r="E6" s="169">
        <v>0.78472222222222221</v>
      </c>
      <c r="F6" s="171" t="s">
        <v>56</v>
      </c>
      <c r="G6" s="172"/>
      <c r="H6" s="22"/>
      <c r="I6" s="22"/>
      <c r="J6" s="281"/>
      <c r="K6" s="169">
        <v>0.64583333333333337</v>
      </c>
      <c r="L6" s="169" t="s">
        <v>8</v>
      </c>
      <c r="M6" s="170" t="s">
        <v>28</v>
      </c>
      <c r="N6" s="169">
        <v>0.76388888888888884</v>
      </c>
      <c r="O6" s="171" t="s">
        <v>6</v>
      </c>
      <c r="P6" s="172"/>
      <c r="Q6" s="23"/>
    </row>
    <row r="7" spans="1:17">
      <c r="A7" s="163"/>
      <c r="B7" s="169"/>
      <c r="C7" s="169"/>
      <c r="D7" s="170"/>
      <c r="E7" s="169"/>
      <c r="F7" s="171"/>
      <c r="G7" s="172"/>
      <c r="H7" s="22"/>
      <c r="I7" s="22"/>
      <c r="J7" s="281"/>
      <c r="K7" s="169">
        <v>0.82638888888888884</v>
      </c>
      <c r="L7" s="169" t="s">
        <v>6</v>
      </c>
      <c r="M7" s="170" t="s">
        <v>28</v>
      </c>
      <c r="N7" s="169">
        <v>0.89583333333333337</v>
      </c>
      <c r="O7" s="171" t="s">
        <v>5</v>
      </c>
      <c r="P7" s="172"/>
      <c r="Q7" s="23"/>
    </row>
    <row r="8" spans="1:17" ht="19" thickBot="1">
      <c r="A8" s="117"/>
      <c r="B8" s="118"/>
      <c r="C8" s="118"/>
      <c r="D8" s="119"/>
      <c r="E8" s="118"/>
      <c r="F8" s="174"/>
      <c r="G8" s="175"/>
      <c r="H8" s="22"/>
      <c r="I8" s="22"/>
      <c r="J8" s="282"/>
      <c r="K8" s="118"/>
      <c r="L8" s="118"/>
      <c r="M8" s="119"/>
      <c r="N8" s="118"/>
      <c r="O8" s="174"/>
      <c r="P8" s="175"/>
      <c r="Q8" s="23"/>
    </row>
    <row r="9" spans="1:17" ht="19" thickBot="1">
      <c r="A9" s="22"/>
      <c r="B9" s="22"/>
      <c r="C9" s="22"/>
      <c r="D9" s="23"/>
      <c r="E9" s="24"/>
      <c r="F9" s="23"/>
      <c r="G9" s="65"/>
      <c r="H9" s="22"/>
      <c r="I9" s="22"/>
      <c r="J9" s="22"/>
      <c r="K9" s="22"/>
      <c r="L9" s="23"/>
      <c r="M9" s="24"/>
      <c r="O9" s="22"/>
      <c r="P9" s="22"/>
      <c r="Q9" s="22"/>
    </row>
    <row r="10" spans="1:17" ht="19" thickBot="1">
      <c r="A10" s="35" t="s">
        <v>0</v>
      </c>
      <c r="B10" s="36" t="s">
        <v>28</v>
      </c>
      <c r="C10" s="36" t="s">
        <v>1</v>
      </c>
      <c r="D10" s="36" t="s">
        <v>30</v>
      </c>
      <c r="E10" s="36" t="s">
        <v>2</v>
      </c>
      <c r="F10" s="36" t="s">
        <v>3</v>
      </c>
      <c r="G10" s="161" t="s">
        <v>4</v>
      </c>
      <c r="H10" s="3" t="s">
        <v>50</v>
      </c>
      <c r="I10" s="3"/>
      <c r="J10" s="35" t="s">
        <v>0</v>
      </c>
      <c r="K10" s="36" t="s">
        <v>28</v>
      </c>
      <c r="L10" s="36" t="s">
        <v>1</v>
      </c>
      <c r="M10" s="36" t="s">
        <v>30</v>
      </c>
      <c r="N10" s="36" t="s">
        <v>2</v>
      </c>
      <c r="O10" s="36" t="s">
        <v>3</v>
      </c>
      <c r="P10" s="161" t="s">
        <v>4</v>
      </c>
      <c r="Q10" s="176" t="s">
        <v>50</v>
      </c>
    </row>
    <row r="11" spans="1:17">
      <c r="A11" s="30" t="s">
        <v>5</v>
      </c>
      <c r="B11" s="31">
        <v>1.45</v>
      </c>
      <c r="C11" s="31" t="s">
        <v>6</v>
      </c>
      <c r="D11" s="32" t="s">
        <v>32</v>
      </c>
      <c r="E11" s="33">
        <v>26130</v>
      </c>
      <c r="F11" s="32">
        <v>1474</v>
      </c>
      <c r="G11" s="159">
        <f t="shared" ref="G11" si="0">SUM(E11/F11)</f>
        <v>17.727272727272727</v>
      </c>
      <c r="H11" s="3">
        <v>805</v>
      </c>
      <c r="I11" s="3"/>
      <c r="J11" s="163" t="s">
        <v>56</v>
      </c>
      <c r="K11" s="170">
        <v>2.2999999999999998</v>
      </c>
      <c r="L11" s="170" t="s">
        <v>6</v>
      </c>
      <c r="M11" s="170" t="s">
        <v>9</v>
      </c>
      <c r="N11" s="178">
        <v>31460</v>
      </c>
      <c r="O11" s="170">
        <v>2422</v>
      </c>
      <c r="P11" s="177">
        <f>SUM(N11/O11)</f>
        <v>12.989265070189926</v>
      </c>
      <c r="Q11" s="22">
        <v>1516</v>
      </c>
    </row>
    <row r="12" spans="1:17">
      <c r="A12" s="25" t="s">
        <v>6</v>
      </c>
      <c r="B12" s="26">
        <v>2.1</v>
      </c>
      <c r="C12" s="26" t="s">
        <v>8</v>
      </c>
      <c r="D12" s="27" t="s">
        <v>32</v>
      </c>
      <c r="E12" s="28">
        <v>21210</v>
      </c>
      <c r="F12" s="27">
        <v>2368</v>
      </c>
      <c r="G12" s="159">
        <f>SUM(E12/F12)</f>
        <v>8.9569256756756754</v>
      </c>
      <c r="H12" s="3">
        <v>1476</v>
      </c>
      <c r="I12" s="3"/>
      <c r="J12" s="25" t="s">
        <v>6</v>
      </c>
      <c r="K12" s="26">
        <v>2.1</v>
      </c>
      <c r="L12" s="26" t="s">
        <v>8</v>
      </c>
      <c r="M12" s="27" t="s">
        <v>32</v>
      </c>
      <c r="N12" s="28">
        <v>21210</v>
      </c>
      <c r="O12" s="27">
        <v>2368</v>
      </c>
      <c r="P12" s="177">
        <f t="shared" ref="P12:P14" si="1">SUM(N12/O12)</f>
        <v>8.9569256756756754</v>
      </c>
      <c r="Q12" s="22">
        <v>1476</v>
      </c>
    </row>
    <row r="13" spans="1:17">
      <c r="A13" s="25" t="s">
        <v>8</v>
      </c>
      <c r="B13" s="26">
        <v>1.05</v>
      </c>
      <c r="C13" s="27" t="s">
        <v>56</v>
      </c>
      <c r="D13" s="27" t="s">
        <v>32</v>
      </c>
      <c r="E13" s="28">
        <v>9930</v>
      </c>
      <c r="F13" s="27">
        <v>786</v>
      </c>
      <c r="G13" s="159">
        <f>SUM(E13/F13)</f>
        <v>12.633587786259541</v>
      </c>
      <c r="H13" s="3">
        <v>289</v>
      </c>
      <c r="I13" s="3"/>
      <c r="J13" s="25" t="s">
        <v>8</v>
      </c>
      <c r="K13" s="26">
        <v>2.1</v>
      </c>
      <c r="L13" s="26" t="s">
        <v>6</v>
      </c>
      <c r="M13" s="27" t="s">
        <v>32</v>
      </c>
      <c r="N13" s="28">
        <v>21210</v>
      </c>
      <c r="O13" s="27">
        <v>2368</v>
      </c>
      <c r="P13" s="177">
        <f>SUM(N13/O13)</f>
        <v>8.9569256756756754</v>
      </c>
      <c r="Q13" s="22">
        <v>1476</v>
      </c>
    </row>
    <row r="14" spans="1:17">
      <c r="A14" s="25"/>
      <c r="B14" s="26"/>
      <c r="C14" s="27"/>
      <c r="D14" s="27"/>
      <c r="E14" s="28"/>
      <c r="F14" s="27"/>
      <c r="G14" s="159"/>
      <c r="H14" s="3"/>
      <c r="I14" s="3"/>
      <c r="J14" s="25" t="s">
        <v>6</v>
      </c>
      <c r="K14" s="26">
        <v>1.45</v>
      </c>
      <c r="L14" s="27" t="s">
        <v>5</v>
      </c>
      <c r="M14" s="27" t="s">
        <v>84</v>
      </c>
      <c r="N14" s="28">
        <v>15280</v>
      </c>
      <c r="O14" s="27">
        <v>1205</v>
      </c>
      <c r="P14" s="177">
        <f t="shared" si="1"/>
        <v>12.680497925311203</v>
      </c>
      <c r="Q14" s="22">
        <v>603</v>
      </c>
    </row>
    <row r="15" spans="1:17" ht="19" thickBot="1">
      <c r="A15" s="25"/>
      <c r="B15" s="26"/>
      <c r="C15" s="27"/>
      <c r="D15" s="27"/>
      <c r="E15" s="28"/>
      <c r="F15" s="40"/>
      <c r="G15" s="159"/>
      <c r="H15" s="3"/>
      <c r="I15" s="3"/>
      <c r="J15" s="25"/>
      <c r="K15" s="26"/>
      <c r="L15" s="27"/>
      <c r="M15" s="27"/>
      <c r="N15" s="28"/>
      <c r="O15" s="40"/>
      <c r="P15" s="159"/>
      <c r="Q15" s="22"/>
    </row>
    <row r="16" spans="1:17" ht="20" thickTop="1" thickBot="1">
      <c r="A16" s="80" t="s">
        <v>29</v>
      </c>
      <c r="B16" s="81">
        <f>SUM(B11:B15)</f>
        <v>4.5999999999999996</v>
      </c>
      <c r="C16" s="82" t="s">
        <v>39</v>
      </c>
      <c r="D16" s="43"/>
      <c r="E16" s="44">
        <f>SUM(E11:E15)</f>
        <v>57270</v>
      </c>
      <c r="F16" s="43">
        <f>SUM(F11:F15)</f>
        <v>4628</v>
      </c>
      <c r="G16" s="160">
        <f t="shared" ref="G16" si="2">SUM(E16/F16)</f>
        <v>12.374675885911842</v>
      </c>
      <c r="H16" s="3">
        <f>SUM(H11:H15)</f>
        <v>2570</v>
      </c>
      <c r="I16" s="3"/>
      <c r="J16" s="80" t="s">
        <v>29</v>
      </c>
      <c r="K16" s="81">
        <f>SUM(K11:K15)</f>
        <v>7.95</v>
      </c>
      <c r="L16" s="82" t="s">
        <v>39</v>
      </c>
      <c r="M16" s="43"/>
      <c r="N16" s="44">
        <f>SUM(N11:N15)</f>
        <v>89160</v>
      </c>
      <c r="O16" s="43">
        <f>SUM(O11:O15)</f>
        <v>8363</v>
      </c>
      <c r="P16" s="160">
        <f>SUM(N16/O16)</f>
        <v>10.661245964366854</v>
      </c>
      <c r="Q16" s="23">
        <f>SUM(Q9:Q15)</f>
        <v>5071</v>
      </c>
    </row>
    <row r="17" spans="1:18">
      <c r="A17" s="173"/>
      <c r="B17" s="158"/>
      <c r="C17" s="158"/>
      <c r="D17" s="22"/>
      <c r="E17" s="158"/>
      <c r="F17" s="83"/>
      <c r="G17" s="83"/>
      <c r="H17" s="1"/>
      <c r="I17" s="1"/>
      <c r="J17" s="1"/>
      <c r="K17" s="1"/>
      <c r="L17" s="1"/>
      <c r="Q17" s="23"/>
    </row>
    <row r="18" spans="1:18" ht="19" thickBot="1">
      <c r="A18" s="173">
        <v>44315</v>
      </c>
      <c r="B18" s="158"/>
      <c r="C18" s="158"/>
      <c r="D18" s="22"/>
      <c r="E18" s="158"/>
      <c r="I18" s="1"/>
      <c r="J18" s="1"/>
      <c r="K18" s="1"/>
      <c r="L18" s="1"/>
      <c r="N18" s="219" t="s">
        <v>85</v>
      </c>
      <c r="O18" s="220"/>
      <c r="P18" s="220">
        <f>SUM(F16+O16+F32+O36)</f>
        <v>31191</v>
      </c>
      <c r="Q18" s="23"/>
    </row>
    <row r="19" spans="1:18" ht="19" thickBot="1">
      <c r="A19" s="283" t="s">
        <v>47</v>
      </c>
      <c r="B19" s="284"/>
      <c r="C19" s="284"/>
      <c r="D19" s="284"/>
      <c r="E19" s="284"/>
      <c r="F19" s="284"/>
      <c r="G19" s="285"/>
      <c r="H19" s="22"/>
      <c r="I19" s="1"/>
      <c r="N19" s="219" t="s">
        <v>86</v>
      </c>
      <c r="O19" s="220"/>
      <c r="P19" s="220">
        <f>SUM(H16+Q16+H32+Q36)</f>
        <v>12972</v>
      </c>
      <c r="Q19" s="22"/>
    </row>
    <row r="20" spans="1:18">
      <c r="A20" s="280">
        <v>44315</v>
      </c>
      <c r="B20" s="105">
        <v>0.30555555555555552</v>
      </c>
      <c r="C20" s="105" t="s">
        <v>5</v>
      </c>
      <c r="D20" s="106" t="s">
        <v>28</v>
      </c>
      <c r="E20" s="105">
        <v>0.37152777777777773</v>
      </c>
      <c r="F20" s="107" t="s">
        <v>6</v>
      </c>
      <c r="G20" s="108"/>
      <c r="H20" s="22"/>
      <c r="N20" s="219" t="s">
        <v>2</v>
      </c>
      <c r="O20" s="219"/>
      <c r="P20" s="222">
        <f>SUM(E16+N16+E32+N36)</f>
        <v>275590</v>
      </c>
      <c r="Q20" t="s">
        <v>91</v>
      </c>
    </row>
    <row r="21" spans="1:18">
      <c r="A21" s="281"/>
      <c r="B21" s="165">
        <v>0.4201388888888889</v>
      </c>
      <c r="C21" s="165" t="s">
        <v>6</v>
      </c>
      <c r="D21" s="166" t="s">
        <v>28</v>
      </c>
      <c r="E21" s="165">
        <v>0.51736111111111105</v>
      </c>
      <c r="F21" s="167" t="s">
        <v>8</v>
      </c>
      <c r="G21" s="168"/>
      <c r="H21" s="22"/>
      <c r="N21" s="219" t="s">
        <v>4</v>
      </c>
      <c r="O21" s="219"/>
      <c r="P21" s="221">
        <f>SUM(P20/P18)</f>
        <v>8.8355615401878751</v>
      </c>
    </row>
    <row r="22" spans="1:18" ht="19" thickBot="1">
      <c r="A22" s="281"/>
      <c r="B22" s="169">
        <v>0.75</v>
      </c>
      <c r="C22" s="169" t="s">
        <v>8</v>
      </c>
      <c r="D22" s="170" t="s">
        <v>28</v>
      </c>
      <c r="E22" s="169">
        <v>0.79166666666666663</v>
      </c>
      <c r="F22" s="171" t="s">
        <v>56</v>
      </c>
      <c r="G22" s="172"/>
      <c r="H22" s="23"/>
      <c r="J22" s="173">
        <v>44319</v>
      </c>
      <c r="K22" s="158"/>
      <c r="L22" s="158"/>
      <c r="M22" s="22"/>
      <c r="N22" s="158"/>
      <c r="R22" s="1"/>
    </row>
    <row r="23" spans="1:18" ht="19" thickBot="1">
      <c r="A23" s="281"/>
      <c r="B23" s="169"/>
      <c r="C23" s="169"/>
      <c r="D23" s="170"/>
      <c r="E23" s="169"/>
      <c r="F23" s="171"/>
      <c r="G23" s="172"/>
      <c r="H23" s="23"/>
      <c r="J23" s="283" t="s">
        <v>47</v>
      </c>
      <c r="K23" s="284"/>
      <c r="L23" s="284"/>
      <c r="M23" s="284"/>
      <c r="N23" s="284"/>
      <c r="O23" s="284"/>
      <c r="P23" s="285"/>
      <c r="Q23" s="22"/>
      <c r="R23" s="1"/>
    </row>
    <row r="24" spans="1:18" ht="19" thickBot="1">
      <c r="A24" s="282"/>
      <c r="B24" s="118"/>
      <c r="C24" s="118"/>
      <c r="D24" s="119"/>
      <c r="E24" s="118"/>
      <c r="F24" s="174"/>
      <c r="G24" s="175"/>
      <c r="H24" s="23"/>
      <c r="J24" s="280">
        <v>44319</v>
      </c>
      <c r="K24" s="105">
        <v>0.4826388888888889</v>
      </c>
      <c r="L24" s="105" t="s">
        <v>56</v>
      </c>
      <c r="M24" s="106" t="s">
        <v>28</v>
      </c>
      <c r="N24" s="105">
        <v>0.57986111111111105</v>
      </c>
      <c r="O24" s="107" t="s">
        <v>89</v>
      </c>
      <c r="P24" s="108"/>
      <c r="Q24" s="22"/>
    </row>
    <row r="25" spans="1:18" ht="19" thickBot="1">
      <c r="A25" s="22"/>
      <c r="B25" s="22"/>
      <c r="C25" s="23"/>
      <c r="D25" s="24"/>
      <c r="F25" s="22"/>
      <c r="G25" s="22"/>
      <c r="H25" s="22"/>
      <c r="J25" s="281"/>
      <c r="K25" s="165">
        <v>0.78819444444444453</v>
      </c>
      <c r="L25" s="165" t="s">
        <v>90</v>
      </c>
      <c r="M25" s="166" t="s">
        <v>28</v>
      </c>
      <c r="N25" s="165">
        <v>0.85763888888888884</v>
      </c>
      <c r="O25" s="167" t="s">
        <v>5</v>
      </c>
      <c r="P25" s="168"/>
      <c r="Q25" s="22"/>
    </row>
    <row r="26" spans="1:18" ht="19" thickBot="1">
      <c r="A26" s="35" t="s">
        <v>0</v>
      </c>
      <c r="B26" s="36" t="s">
        <v>28</v>
      </c>
      <c r="C26" s="36" t="s">
        <v>1</v>
      </c>
      <c r="D26" s="36" t="s">
        <v>30</v>
      </c>
      <c r="E26" s="36" t="s">
        <v>2</v>
      </c>
      <c r="F26" s="36" t="s">
        <v>3</v>
      </c>
      <c r="G26" s="161" t="s">
        <v>4</v>
      </c>
      <c r="H26" s="176" t="s">
        <v>50</v>
      </c>
      <c r="I26" s="22" t="s">
        <v>88</v>
      </c>
      <c r="J26" s="281"/>
      <c r="K26" s="169"/>
      <c r="L26" s="169"/>
      <c r="M26" s="170"/>
      <c r="N26" s="169"/>
      <c r="O26" s="171"/>
      <c r="P26" s="172"/>
      <c r="Q26" s="23"/>
    </row>
    <row r="27" spans="1:18">
      <c r="A27" s="163" t="s">
        <v>5</v>
      </c>
      <c r="B27" s="170">
        <v>1.45</v>
      </c>
      <c r="C27" s="170" t="s">
        <v>6</v>
      </c>
      <c r="D27" s="170" t="s">
        <v>9</v>
      </c>
      <c r="E27" s="178">
        <v>26030</v>
      </c>
      <c r="F27" s="170">
        <v>3484</v>
      </c>
      <c r="G27" s="177">
        <f>SUM(E27/F27)</f>
        <v>7.4712973593570604</v>
      </c>
      <c r="H27" s="22">
        <v>1006</v>
      </c>
      <c r="I27" s="22">
        <v>1742</v>
      </c>
      <c r="J27" s="281"/>
      <c r="K27" s="169"/>
      <c r="L27" s="169"/>
      <c r="M27" s="170"/>
      <c r="N27" s="169"/>
      <c r="O27" s="171"/>
      <c r="P27" s="172"/>
      <c r="Q27" s="23"/>
    </row>
    <row r="28" spans="1:18" ht="19" thickBot="1">
      <c r="A28" s="25" t="s">
        <v>6</v>
      </c>
      <c r="B28" s="26">
        <v>2.1</v>
      </c>
      <c r="C28" s="26" t="s">
        <v>8</v>
      </c>
      <c r="D28" s="27" t="s">
        <v>9</v>
      </c>
      <c r="E28" s="28">
        <v>37560</v>
      </c>
      <c r="F28" s="27">
        <v>5720</v>
      </c>
      <c r="G28" s="177">
        <f t="shared" ref="G28" si="3">SUM(E28/F28)</f>
        <v>6.5664335664335667</v>
      </c>
      <c r="H28" s="22">
        <v>1845</v>
      </c>
      <c r="I28" s="22">
        <v>2860</v>
      </c>
      <c r="J28" s="282"/>
      <c r="K28" s="118"/>
      <c r="L28" s="118"/>
      <c r="M28" s="119"/>
      <c r="N28" s="118"/>
      <c r="O28" s="174"/>
      <c r="P28" s="175"/>
      <c r="Q28" s="23"/>
    </row>
    <row r="29" spans="1:18" ht="19" thickBot="1">
      <c r="A29" s="25" t="s">
        <v>8</v>
      </c>
      <c r="B29" s="26">
        <v>1.05</v>
      </c>
      <c r="C29" s="26" t="s">
        <v>56</v>
      </c>
      <c r="D29" s="27" t="s">
        <v>9</v>
      </c>
      <c r="E29" s="28">
        <v>17030</v>
      </c>
      <c r="F29" s="27">
        <v>1764</v>
      </c>
      <c r="G29" s="177">
        <f>SUM(E29/F29)</f>
        <v>9.6541950113378689</v>
      </c>
      <c r="H29" s="22">
        <v>361</v>
      </c>
      <c r="I29" s="22">
        <v>882</v>
      </c>
      <c r="J29" s="22"/>
      <c r="K29" s="22"/>
      <c r="L29" s="23"/>
      <c r="M29" s="24"/>
      <c r="O29" s="22"/>
      <c r="P29" s="22"/>
      <c r="Q29" s="22"/>
    </row>
    <row r="30" spans="1:18" ht="19" thickBot="1">
      <c r="A30" s="25"/>
      <c r="B30" s="26"/>
      <c r="C30" s="27"/>
      <c r="D30" s="27"/>
      <c r="E30" s="28"/>
      <c r="F30" s="27"/>
      <c r="G30" s="177"/>
      <c r="H30" s="22"/>
      <c r="J30" s="35" t="s">
        <v>0</v>
      </c>
      <c r="K30" s="36" t="s">
        <v>28</v>
      </c>
      <c r="L30" s="36" t="s">
        <v>1</v>
      </c>
      <c r="M30" s="36" t="s">
        <v>30</v>
      </c>
      <c r="N30" s="36" t="s">
        <v>2</v>
      </c>
      <c r="O30" s="36" t="s">
        <v>3</v>
      </c>
      <c r="P30" s="161" t="s">
        <v>4</v>
      </c>
      <c r="Q30" s="176" t="s">
        <v>50</v>
      </c>
      <c r="R30" s="22" t="s">
        <v>88</v>
      </c>
    </row>
    <row r="31" spans="1:18" ht="19" thickBot="1">
      <c r="A31" s="25"/>
      <c r="B31" s="26"/>
      <c r="C31" s="27"/>
      <c r="D31" s="27"/>
      <c r="E31" s="28"/>
      <c r="F31" s="40"/>
      <c r="G31" s="159"/>
      <c r="H31" s="22"/>
      <c r="J31" s="163" t="s">
        <v>56</v>
      </c>
      <c r="K31" s="170"/>
      <c r="L31" s="170" t="s">
        <v>89</v>
      </c>
      <c r="M31" s="170" t="s">
        <v>9</v>
      </c>
      <c r="N31" s="178">
        <v>32510</v>
      </c>
      <c r="O31" s="170">
        <v>4822</v>
      </c>
      <c r="P31" s="177">
        <f>SUM(N31/O31)</f>
        <v>6.7420157610949811</v>
      </c>
      <c r="Q31" s="22">
        <v>1516</v>
      </c>
      <c r="R31" s="22">
        <v>2422</v>
      </c>
    </row>
    <row r="32" spans="1:18" ht="20" thickTop="1" thickBot="1">
      <c r="A32" s="80" t="s">
        <v>29</v>
      </c>
      <c r="B32" s="81">
        <f>SUM(B27:B31)</f>
        <v>4.5999999999999996</v>
      </c>
      <c r="C32" s="82" t="s">
        <v>39</v>
      </c>
      <c r="D32" s="43"/>
      <c r="E32" s="44">
        <f>SUM(E27:E31)</f>
        <v>80620</v>
      </c>
      <c r="F32" s="43">
        <f>SUM(F27:F31)</f>
        <v>10968</v>
      </c>
      <c r="G32" s="160">
        <f>SUM(E32/F32)</f>
        <v>7.3504741064916121</v>
      </c>
      <c r="H32" s="23">
        <f>SUM(H25:H31)</f>
        <v>3212</v>
      </c>
      <c r="J32" s="25" t="s">
        <v>89</v>
      </c>
      <c r="K32" s="26"/>
      <c r="L32" s="26" t="s">
        <v>5</v>
      </c>
      <c r="M32" s="27" t="s">
        <v>32</v>
      </c>
      <c r="N32" s="28">
        <v>16030</v>
      </c>
      <c r="O32" s="27">
        <v>2410</v>
      </c>
      <c r="P32" s="177">
        <f t="shared" ref="P32" si="4">SUM(N32/O32)</f>
        <v>6.6514522821576767</v>
      </c>
      <c r="Q32" s="22">
        <v>603</v>
      </c>
      <c r="R32" s="22">
        <v>1205</v>
      </c>
    </row>
    <row r="33" spans="10:18">
      <c r="J33" s="25"/>
      <c r="K33" s="26"/>
      <c r="L33" s="26"/>
      <c r="M33" s="27"/>
      <c r="N33" s="28"/>
      <c r="O33" s="27"/>
      <c r="P33" s="177"/>
      <c r="Q33" s="22"/>
      <c r="R33" s="22"/>
    </row>
    <row r="34" spans="10:18">
      <c r="J34" s="25"/>
      <c r="K34" s="26"/>
      <c r="L34" s="27"/>
      <c r="M34" s="27"/>
      <c r="N34" s="28"/>
      <c r="O34" s="27"/>
      <c r="P34" s="177"/>
      <c r="Q34" s="22"/>
    </row>
    <row r="35" spans="10:18" ht="19" thickBot="1">
      <c r="J35" s="25"/>
      <c r="K35" s="26"/>
      <c r="L35" s="27"/>
      <c r="M35" s="27"/>
      <c r="N35" s="28"/>
      <c r="O35" s="40"/>
      <c r="P35" s="159"/>
      <c r="Q35" s="22"/>
    </row>
    <row r="36" spans="10:18" ht="20" thickTop="1" thickBot="1">
      <c r="J36" s="80" t="s">
        <v>29</v>
      </c>
      <c r="K36" s="81">
        <f>SUM(K31:K35)</f>
        <v>0</v>
      </c>
      <c r="L36" s="82" t="s">
        <v>39</v>
      </c>
      <c r="M36" s="43"/>
      <c r="N36" s="44">
        <f>SUM(N31:N35)</f>
        <v>48540</v>
      </c>
      <c r="O36" s="43">
        <f>SUM(O31:O35)</f>
        <v>7232</v>
      </c>
      <c r="P36" s="160">
        <f>SUM(N36/O36)</f>
        <v>6.7118362831858409</v>
      </c>
      <c r="Q36" s="23">
        <f>SUM(Q29:Q35)</f>
        <v>2119</v>
      </c>
    </row>
  </sheetData>
  <mergeCells count="8">
    <mergeCell ref="A20:A24"/>
    <mergeCell ref="A3:G3"/>
    <mergeCell ref="J3:P3"/>
    <mergeCell ref="J4:J8"/>
    <mergeCell ref="A4:A6"/>
    <mergeCell ref="A19:G19"/>
    <mergeCell ref="J23:P23"/>
    <mergeCell ref="J24:J28"/>
  </mergeCells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043B-AFDB-4841-95B2-EEC09798E6EB}">
  <dimension ref="A2:Z49"/>
  <sheetViews>
    <sheetView zoomScale="89" zoomScaleNormal="70" workbookViewId="0">
      <selection activeCell="B2" sqref="B2"/>
    </sheetView>
  </sheetViews>
  <sheetFormatPr baseColWidth="10" defaultColWidth="8.83203125" defaultRowHeight="18"/>
  <cols>
    <col min="1" max="1" width="3.5" bestFit="1" customWidth="1"/>
    <col min="2" max="3" width="8.33203125" customWidth="1"/>
    <col min="4" max="5" width="10" style="1" customWidth="1"/>
    <col min="6" max="7" width="10" style="2" customWidth="1"/>
    <col min="8" max="12" width="10" style="1" customWidth="1"/>
    <col min="13" max="13" width="10" customWidth="1"/>
    <col min="14" max="14" width="13.33203125" bestFit="1" customWidth="1"/>
  </cols>
  <sheetData>
    <row r="2" spans="1:15" ht="19" thickBot="1">
      <c r="B2" t="s">
        <v>55</v>
      </c>
    </row>
    <row r="3" spans="1:15">
      <c r="A3" s="294"/>
      <c r="B3" s="295"/>
      <c r="C3" s="296"/>
      <c r="D3" s="297" t="s">
        <v>49</v>
      </c>
      <c r="E3" s="297"/>
      <c r="F3" s="297"/>
      <c r="G3" s="297"/>
      <c r="H3" s="298"/>
      <c r="I3" s="299" t="s">
        <v>51</v>
      </c>
      <c r="J3" s="300"/>
      <c r="K3" s="300"/>
      <c r="L3" s="300"/>
      <c r="M3" s="301"/>
      <c r="N3" s="133"/>
      <c r="O3" s="148" t="s">
        <v>59</v>
      </c>
    </row>
    <row r="4" spans="1:15" ht="19" thickBot="1">
      <c r="A4" s="13"/>
      <c r="B4" s="14" t="s">
        <v>0</v>
      </c>
      <c r="C4" s="14" t="s">
        <v>1</v>
      </c>
      <c r="D4" s="15" t="s">
        <v>2</v>
      </c>
      <c r="E4" s="15" t="s">
        <v>3</v>
      </c>
      <c r="F4" s="16" t="s">
        <v>4</v>
      </c>
      <c r="G4" s="130" t="s">
        <v>50</v>
      </c>
      <c r="H4" s="19" t="s">
        <v>22</v>
      </c>
      <c r="I4" s="20" t="s">
        <v>2</v>
      </c>
      <c r="J4" s="15" t="s">
        <v>3</v>
      </c>
      <c r="K4" s="16" t="s">
        <v>4</v>
      </c>
      <c r="L4" s="130" t="s">
        <v>50</v>
      </c>
      <c r="M4" s="17" t="s">
        <v>22</v>
      </c>
      <c r="O4" t="s">
        <v>60</v>
      </c>
    </row>
    <row r="5" spans="1:15">
      <c r="A5" s="302">
        <v>1</v>
      </c>
      <c r="B5" s="135" t="s">
        <v>5</v>
      </c>
      <c r="C5" s="106" t="s">
        <v>6</v>
      </c>
      <c r="D5" s="136">
        <v>26130</v>
      </c>
      <c r="E5" s="136">
        <v>1474</v>
      </c>
      <c r="F5" s="137">
        <f>SUM(D5/E5)</f>
        <v>17.727272727272727</v>
      </c>
      <c r="G5" s="138">
        <v>805</v>
      </c>
      <c r="H5" s="139" t="s">
        <v>74</v>
      </c>
      <c r="I5" s="140">
        <v>35530</v>
      </c>
      <c r="J5" s="136">
        <v>1742</v>
      </c>
      <c r="K5" s="137">
        <f>SUM(I5/J5)</f>
        <v>20.396096440872562</v>
      </c>
      <c r="L5" s="138">
        <v>1006</v>
      </c>
      <c r="M5" s="141" t="s">
        <v>75</v>
      </c>
      <c r="O5" t="s">
        <v>61</v>
      </c>
    </row>
    <row r="6" spans="1:15">
      <c r="A6" s="303"/>
      <c r="B6" s="53" t="s">
        <v>52</v>
      </c>
      <c r="C6" s="54" t="s">
        <v>53</v>
      </c>
      <c r="D6" s="55">
        <v>21530</v>
      </c>
      <c r="E6" s="55">
        <v>1474</v>
      </c>
      <c r="F6" s="60">
        <f>SUM(D6/E6)</f>
        <v>14.606512890094979</v>
      </c>
      <c r="G6" s="131">
        <v>724</v>
      </c>
      <c r="H6" s="57"/>
      <c r="I6" s="62">
        <v>31630</v>
      </c>
      <c r="J6" s="59">
        <v>1742</v>
      </c>
      <c r="K6" s="60">
        <f t="shared" ref="K6:K8" si="0">SUM(I6/J6)</f>
        <v>18.157290470723307</v>
      </c>
      <c r="L6" s="132">
        <v>1006</v>
      </c>
      <c r="M6" s="8"/>
    </row>
    <row r="7" spans="1:15">
      <c r="A7" s="303">
        <v>2</v>
      </c>
      <c r="B7" s="53" t="s">
        <v>53</v>
      </c>
      <c r="C7" s="54" t="s">
        <v>54</v>
      </c>
      <c r="D7" s="55">
        <v>28700</v>
      </c>
      <c r="E7" s="55">
        <v>1534</v>
      </c>
      <c r="F7" s="60">
        <f>SUM(D7/E7)</f>
        <v>18.709256844850064</v>
      </c>
      <c r="G7" s="131">
        <v>850</v>
      </c>
      <c r="H7" s="57"/>
      <c r="I7" s="62">
        <v>43000</v>
      </c>
      <c r="J7" s="59">
        <v>1817</v>
      </c>
      <c r="K7" s="60">
        <f t="shared" si="0"/>
        <v>23.665382498624105</v>
      </c>
      <c r="L7" s="132">
        <v>1062</v>
      </c>
      <c r="M7" s="8"/>
    </row>
    <row r="8" spans="1:15">
      <c r="A8" s="303"/>
      <c r="B8" s="53" t="s">
        <v>54</v>
      </c>
      <c r="C8" s="54" t="s">
        <v>53</v>
      </c>
      <c r="D8" s="55">
        <v>28700</v>
      </c>
      <c r="E8" s="55">
        <v>1534</v>
      </c>
      <c r="F8" s="60">
        <f t="shared" ref="F8" si="1">SUM(D8/E8)</f>
        <v>18.709256844850064</v>
      </c>
      <c r="G8" s="131">
        <v>850</v>
      </c>
      <c r="H8" s="57"/>
      <c r="I8" s="62">
        <v>43000</v>
      </c>
      <c r="J8" s="59">
        <v>1817</v>
      </c>
      <c r="K8" s="60">
        <f t="shared" si="0"/>
        <v>23.665382498624105</v>
      </c>
      <c r="L8" s="132">
        <v>1062</v>
      </c>
      <c r="M8" s="8"/>
    </row>
    <row r="9" spans="1:15">
      <c r="A9" s="303">
        <v>3</v>
      </c>
      <c r="B9" s="154" t="s">
        <v>53</v>
      </c>
      <c r="C9" s="155" t="s">
        <v>56</v>
      </c>
      <c r="D9" s="156">
        <v>13150</v>
      </c>
      <c r="E9" s="156">
        <v>1148</v>
      </c>
      <c r="F9" s="47">
        <f t="shared" ref="F9:F16" si="2">SUM(D9/E9)</f>
        <v>11.454703832752614</v>
      </c>
      <c r="G9" s="157">
        <v>561</v>
      </c>
      <c r="H9" s="57"/>
      <c r="I9" s="62">
        <v>23150</v>
      </c>
      <c r="J9" s="59">
        <v>1335</v>
      </c>
      <c r="K9" s="60">
        <f t="shared" ref="K9:K16" si="3">SUM(I9/J9)</f>
        <v>17.340823970037452</v>
      </c>
      <c r="L9" s="132">
        <v>700</v>
      </c>
      <c r="M9" s="8"/>
    </row>
    <row r="10" spans="1:15" ht="19" thickBot="1">
      <c r="A10" s="304"/>
      <c r="B10" s="142" t="s">
        <v>56</v>
      </c>
      <c r="C10" s="119" t="s">
        <v>53</v>
      </c>
      <c r="D10" s="143">
        <v>14850</v>
      </c>
      <c r="E10" s="143">
        <v>1148</v>
      </c>
      <c r="F10" s="134">
        <f t="shared" si="2"/>
        <v>12.935540069686411</v>
      </c>
      <c r="G10" s="144">
        <v>561</v>
      </c>
      <c r="H10" s="145"/>
      <c r="I10" s="146">
        <v>23150</v>
      </c>
      <c r="J10" s="63">
        <v>1335</v>
      </c>
      <c r="K10" s="134">
        <f t="shared" si="3"/>
        <v>17.340823970037452</v>
      </c>
      <c r="L10" s="147">
        <v>700</v>
      </c>
      <c r="M10" s="88" t="s">
        <v>57</v>
      </c>
    </row>
    <row r="11" spans="1:15">
      <c r="A11" s="302">
        <v>4</v>
      </c>
      <c r="B11" s="149" t="s">
        <v>52</v>
      </c>
      <c r="C11" s="150" t="s">
        <v>54</v>
      </c>
      <c r="D11" s="151">
        <v>28610</v>
      </c>
      <c r="E11" s="151">
        <v>2368</v>
      </c>
      <c r="F11" s="152">
        <f t="shared" si="2"/>
        <v>12.081925675675675</v>
      </c>
      <c r="G11" s="153">
        <v>1476</v>
      </c>
      <c r="H11" s="139"/>
      <c r="I11" s="140">
        <v>42910</v>
      </c>
      <c r="J11" s="136">
        <v>2860</v>
      </c>
      <c r="K11" s="137">
        <f t="shared" si="3"/>
        <v>15.003496503496503</v>
      </c>
      <c r="L11" s="138">
        <v>1845</v>
      </c>
      <c r="M11" s="141"/>
    </row>
    <row r="12" spans="1:15">
      <c r="A12" s="303"/>
      <c r="B12" s="53" t="s">
        <v>54</v>
      </c>
      <c r="C12" s="54" t="s">
        <v>52</v>
      </c>
      <c r="D12" s="55">
        <v>36710</v>
      </c>
      <c r="E12" s="55">
        <v>2368</v>
      </c>
      <c r="F12" s="60">
        <f t="shared" si="2"/>
        <v>15.502533783783784</v>
      </c>
      <c r="G12" s="131">
        <v>1476</v>
      </c>
      <c r="H12" s="57"/>
      <c r="I12" s="62">
        <v>52210</v>
      </c>
      <c r="J12" s="59">
        <v>2860</v>
      </c>
      <c r="K12" s="60">
        <f t="shared" si="3"/>
        <v>18.255244755244757</v>
      </c>
      <c r="L12" s="132">
        <v>1845</v>
      </c>
      <c r="M12" s="8"/>
    </row>
    <row r="13" spans="1:15">
      <c r="A13" s="303">
        <v>5</v>
      </c>
      <c r="B13" s="53" t="s">
        <v>52</v>
      </c>
      <c r="C13" s="54" t="s">
        <v>56</v>
      </c>
      <c r="D13" s="55">
        <v>26960</v>
      </c>
      <c r="E13" s="55">
        <v>2018</v>
      </c>
      <c r="F13" s="60">
        <f t="shared" si="2"/>
        <v>13.3597621407334</v>
      </c>
      <c r="G13" s="131">
        <v>1213</v>
      </c>
      <c r="H13" s="57"/>
      <c r="I13" s="62">
        <v>45960</v>
      </c>
      <c r="J13" s="59">
        <v>2422</v>
      </c>
      <c r="K13" s="60">
        <f t="shared" si="3"/>
        <v>18.976052848885217</v>
      </c>
      <c r="L13" s="132">
        <v>1516</v>
      </c>
      <c r="M13" s="8" t="s">
        <v>58</v>
      </c>
    </row>
    <row r="14" spans="1:15" ht="19" thickBot="1">
      <c r="A14" s="304"/>
      <c r="B14" s="142" t="s">
        <v>56</v>
      </c>
      <c r="C14" s="119" t="s">
        <v>52</v>
      </c>
      <c r="D14" s="143">
        <v>29060</v>
      </c>
      <c r="E14" s="143">
        <v>2018</v>
      </c>
      <c r="F14" s="134">
        <f t="shared" si="2"/>
        <v>14.400396432111002</v>
      </c>
      <c r="G14" s="144">
        <v>1213</v>
      </c>
      <c r="H14" s="145"/>
      <c r="I14" s="146">
        <v>45960</v>
      </c>
      <c r="J14" s="63">
        <v>2422</v>
      </c>
      <c r="K14" s="134">
        <f t="shared" si="3"/>
        <v>18.976052848885217</v>
      </c>
      <c r="L14" s="147">
        <v>1516</v>
      </c>
      <c r="M14" s="88" t="s">
        <v>58</v>
      </c>
    </row>
    <row r="15" spans="1:15">
      <c r="A15" s="302">
        <v>6</v>
      </c>
      <c r="B15" s="135" t="s">
        <v>62</v>
      </c>
      <c r="C15" s="106" t="s">
        <v>63</v>
      </c>
      <c r="D15" s="136">
        <v>29210</v>
      </c>
      <c r="E15" s="136">
        <v>1874</v>
      </c>
      <c r="F15" s="137">
        <f t="shared" si="2"/>
        <v>15.586979722518677</v>
      </c>
      <c r="G15" s="138">
        <v>1105</v>
      </c>
      <c r="H15" s="139"/>
      <c r="I15" s="140">
        <v>39310</v>
      </c>
      <c r="J15" s="136">
        <v>2242</v>
      </c>
      <c r="K15" s="137">
        <f t="shared" si="3"/>
        <v>17.533452274754683</v>
      </c>
      <c r="L15" s="138">
        <v>1381</v>
      </c>
      <c r="M15" s="141" t="s">
        <v>66</v>
      </c>
    </row>
    <row r="16" spans="1:15" ht="19" thickBot="1">
      <c r="A16" s="304"/>
      <c r="B16" s="142" t="s">
        <v>62</v>
      </c>
      <c r="C16" s="119" t="s">
        <v>64</v>
      </c>
      <c r="D16" s="143">
        <v>43880</v>
      </c>
      <c r="E16" s="143">
        <v>2164</v>
      </c>
      <c r="F16" s="134">
        <f t="shared" si="2"/>
        <v>20.277264325323475</v>
      </c>
      <c r="G16" s="144">
        <v>1323</v>
      </c>
      <c r="H16" s="145"/>
      <c r="I16" s="146">
        <v>58180</v>
      </c>
      <c r="J16" s="63">
        <v>2605</v>
      </c>
      <c r="K16" s="134">
        <f t="shared" si="3"/>
        <v>22.333973128598849</v>
      </c>
      <c r="L16" s="147">
        <v>1653</v>
      </c>
      <c r="M16" s="88" t="s">
        <v>65</v>
      </c>
    </row>
    <row r="17" spans="1:26">
      <c r="A17" s="22"/>
      <c r="B17" s="158">
        <v>0.90625</v>
      </c>
      <c r="C17" s="305" t="s">
        <v>68</v>
      </c>
      <c r="D17" s="305"/>
      <c r="E17" s="305"/>
      <c r="F17" s="65"/>
      <c r="G17" s="24"/>
      <c r="H17" s="64"/>
      <c r="I17" s="64"/>
      <c r="J17" s="64"/>
      <c r="K17" s="65"/>
      <c r="L17" s="24"/>
      <c r="M17" s="22"/>
    </row>
    <row r="18" spans="1:26" ht="19" thickBot="1">
      <c r="A18" s="22"/>
      <c r="B18" s="22" t="s">
        <v>67</v>
      </c>
      <c r="C18" s="22"/>
      <c r="D18" s="64"/>
      <c r="E18" s="64"/>
      <c r="F18" s="65"/>
      <c r="G18" s="65"/>
      <c r="H18" s="64"/>
      <c r="I18" s="23"/>
      <c r="J18" s="22" t="s">
        <v>73</v>
      </c>
      <c r="K18" s="158"/>
      <c r="L18" s="158"/>
      <c r="M18" s="22"/>
      <c r="N18" s="158"/>
      <c r="S18" t="s">
        <v>87</v>
      </c>
    </row>
    <row r="19" spans="1:26" ht="19" thickBot="1">
      <c r="B19" s="283" t="s">
        <v>47</v>
      </c>
      <c r="C19" s="284"/>
      <c r="D19" s="284"/>
      <c r="E19" s="284"/>
      <c r="F19" s="284"/>
      <c r="G19" s="284"/>
      <c r="H19" s="285"/>
      <c r="I19" s="22"/>
      <c r="J19" s="283" t="s">
        <v>47</v>
      </c>
      <c r="K19" s="284"/>
      <c r="L19" s="284"/>
      <c r="M19" s="284"/>
      <c r="N19" s="284"/>
      <c r="O19" s="284"/>
      <c r="P19" s="285"/>
      <c r="Q19" s="22"/>
      <c r="R19" s="22"/>
      <c r="S19" s="291" t="s">
        <v>47</v>
      </c>
      <c r="T19" s="292"/>
      <c r="U19" s="292"/>
      <c r="V19" s="292"/>
      <c r="W19" s="292"/>
      <c r="X19" s="292"/>
      <c r="Y19" s="293"/>
      <c r="Z19" s="22"/>
    </row>
    <row r="20" spans="1:26">
      <c r="B20" s="162">
        <v>44211</v>
      </c>
      <c r="C20" s="105">
        <v>0.2951388888888889</v>
      </c>
      <c r="D20" s="105" t="s">
        <v>5</v>
      </c>
      <c r="E20" s="106" t="s">
        <v>28</v>
      </c>
      <c r="F20" s="105">
        <v>0.36805555555555558</v>
      </c>
      <c r="G20" s="107" t="s">
        <v>6</v>
      </c>
      <c r="H20" s="108"/>
      <c r="I20" s="22"/>
      <c r="J20" s="280">
        <v>44218</v>
      </c>
      <c r="K20" s="105">
        <v>0.3611111111111111</v>
      </c>
      <c r="L20" s="105" t="s">
        <v>56</v>
      </c>
      <c r="M20" s="106" t="s">
        <v>28</v>
      </c>
      <c r="N20" s="105">
        <v>0.46527777777777773</v>
      </c>
      <c r="O20" s="107" t="s">
        <v>6</v>
      </c>
      <c r="P20" s="108"/>
      <c r="Q20" s="22"/>
      <c r="R20" s="23"/>
      <c r="S20" s="179">
        <v>44217</v>
      </c>
      <c r="T20" s="180">
        <v>0.83333333333333337</v>
      </c>
      <c r="U20" s="180" t="s">
        <v>71</v>
      </c>
      <c r="V20" s="181" t="s">
        <v>28</v>
      </c>
      <c r="W20" s="180">
        <v>0.89930555555555547</v>
      </c>
      <c r="X20" s="182" t="s">
        <v>76</v>
      </c>
      <c r="Y20" s="183"/>
      <c r="Z20" s="22"/>
    </row>
    <row r="21" spans="1:26">
      <c r="B21" s="163"/>
      <c r="C21" s="165">
        <v>0.46527777777777773</v>
      </c>
      <c r="D21" s="165" t="s">
        <v>6</v>
      </c>
      <c r="E21" s="166" t="s">
        <v>28</v>
      </c>
      <c r="F21" s="165">
        <v>0.55902777777777779</v>
      </c>
      <c r="G21" s="167" t="s">
        <v>8</v>
      </c>
      <c r="H21" s="168"/>
      <c r="I21" s="22"/>
      <c r="J21" s="281"/>
      <c r="K21" s="165">
        <v>0.51388888888888895</v>
      </c>
      <c r="L21" s="165" t="s">
        <v>6</v>
      </c>
      <c r="M21" s="166" t="s">
        <v>28</v>
      </c>
      <c r="N21" s="165">
        <v>0.60763888888888895</v>
      </c>
      <c r="O21" s="167" t="s">
        <v>8</v>
      </c>
      <c r="P21" s="168"/>
      <c r="Q21" s="22"/>
      <c r="R21" s="23"/>
      <c r="S21" s="289">
        <v>44218</v>
      </c>
      <c r="T21" s="184">
        <v>0.2951388888888889</v>
      </c>
      <c r="U21" s="184" t="s">
        <v>77</v>
      </c>
      <c r="V21" s="185" t="s">
        <v>28</v>
      </c>
      <c r="W21" s="184">
        <v>0.36805555555555558</v>
      </c>
      <c r="X21" s="186" t="s">
        <v>78</v>
      </c>
      <c r="Y21" s="187"/>
      <c r="Z21" s="22"/>
    </row>
    <row r="22" spans="1:26">
      <c r="B22" s="164"/>
      <c r="C22" s="169">
        <v>0.73958333333333337</v>
      </c>
      <c r="D22" s="169" t="s">
        <v>8</v>
      </c>
      <c r="E22" s="170" t="s">
        <v>28</v>
      </c>
      <c r="F22" s="169">
        <v>0.78472222222222221</v>
      </c>
      <c r="G22" s="171" t="s">
        <v>56</v>
      </c>
      <c r="H22" s="172"/>
      <c r="I22" s="22"/>
      <c r="J22" s="281"/>
      <c r="K22" s="169">
        <v>0.64583333333333337</v>
      </c>
      <c r="L22" s="169" t="s">
        <v>8</v>
      </c>
      <c r="M22" s="170" t="s">
        <v>28</v>
      </c>
      <c r="N22" s="169">
        <v>0.76388888888888884</v>
      </c>
      <c r="O22" s="171" t="s">
        <v>6</v>
      </c>
      <c r="P22" s="172"/>
      <c r="Q22" s="23"/>
      <c r="R22" s="23"/>
      <c r="S22" s="289"/>
      <c r="T22" s="188">
        <v>0.46527777777777773</v>
      </c>
      <c r="U22" s="188" t="s">
        <v>78</v>
      </c>
      <c r="V22" s="189" t="s">
        <v>28</v>
      </c>
      <c r="W22" s="188">
        <v>0.55902777777777779</v>
      </c>
      <c r="X22" s="190" t="s">
        <v>79</v>
      </c>
      <c r="Y22" s="191"/>
      <c r="Z22" s="23"/>
    </row>
    <row r="23" spans="1:26">
      <c r="B23" s="163"/>
      <c r="C23" s="169"/>
      <c r="D23" s="169"/>
      <c r="E23" s="170"/>
      <c r="F23" s="169"/>
      <c r="G23" s="171"/>
      <c r="H23" s="172"/>
      <c r="I23" s="22"/>
      <c r="J23" s="281"/>
      <c r="K23" s="169">
        <v>0.82638888888888884</v>
      </c>
      <c r="L23" s="169" t="s">
        <v>6</v>
      </c>
      <c r="M23" s="170" t="s">
        <v>28</v>
      </c>
      <c r="N23" s="169">
        <v>0.89583333333333337</v>
      </c>
      <c r="O23" s="171" t="s">
        <v>5</v>
      </c>
      <c r="P23" s="172"/>
      <c r="Q23" s="23"/>
      <c r="R23" s="23"/>
      <c r="S23" s="289"/>
      <c r="T23" s="188">
        <v>0.64583333333333337</v>
      </c>
      <c r="U23" s="188" t="s">
        <v>79</v>
      </c>
      <c r="V23" s="189" t="s">
        <v>28</v>
      </c>
      <c r="W23" s="188">
        <v>0.76388888888888884</v>
      </c>
      <c r="X23" s="190" t="s">
        <v>78</v>
      </c>
      <c r="Y23" s="191"/>
      <c r="Z23" s="23"/>
    </row>
    <row r="24" spans="1:26" ht="19" thickBot="1">
      <c r="B24" s="117"/>
      <c r="C24" s="118"/>
      <c r="D24" s="118"/>
      <c r="E24" s="119"/>
      <c r="F24" s="118"/>
      <c r="G24" s="174"/>
      <c r="H24" s="175"/>
      <c r="I24" s="22"/>
      <c r="J24" s="282"/>
      <c r="K24" s="118"/>
      <c r="L24" s="118"/>
      <c r="M24" s="119"/>
      <c r="N24" s="118"/>
      <c r="O24" s="174"/>
      <c r="P24" s="175"/>
      <c r="Q24" s="23"/>
      <c r="R24" s="23"/>
      <c r="S24" s="290"/>
      <c r="T24" s="192">
        <v>0.82638888888888884</v>
      </c>
      <c r="U24" s="192" t="s">
        <v>78</v>
      </c>
      <c r="V24" s="193"/>
      <c r="W24" s="192">
        <v>0.89583333333333337</v>
      </c>
      <c r="X24" s="194" t="s">
        <v>77</v>
      </c>
      <c r="Y24" s="195"/>
      <c r="Z24" s="23"/>
    </row>
    <row r="25" spans="1:26" ht="19" thickBot="1">
      <c r="B25" s="22"/>
      <c r="C25" s="22"/>
      <c r="D25" s="22"/>
      <c r="E25" s="23"/>
      <c r="F25" s="24"/>
      <c r="G25" s="23"/>
      <c r="H25" s="65"/>
      <c r="I25" s="22"/>
      <c r="J25" s="22"/>
      <c r="K25" s="22"/>
      <c r="L25" s="23"/>
      <c r="M25" s="24"/>
      <c r="O25" s="22"/>
      <c r="P25" s="22"/>
      <c r="Q25" s="22"/>
      <c r="R25" s="23"/>
      <c r="S25" s="196"/>
      <c r="T25" s="196"/>
      <c r="U25" s="197"/>
      <c r="V25" s="198"/>
      <c r="W25" s="199"/>
      <c r="X25" s="196"/>
      <c r="Y25" s="196"/>
      <c r="Z25" s="22"/>
    </row>
    <row r="26" spans="1:26" ht="19" thickBot="1">
      <c r="B26" s="35" t="s">
        <v>0</v>
      </c>
      <c r="C26" s="36" t="s">
        <v>28</v>
      </c>
      <c r="D26" s="36" t="s">
        <v>1</v>
      </c>
      <c r="E26" s="36" t="s">
        <v>30</v>
      </c>
      <c r="F26" s="36" t="s">
        <v>2</v>
      </c>
      <c r="G26" s="36" t="s">
        <v>3</v>
      </c>
      <c r="H26" s="161" t="s">
        <v>4</v>
      </c>
      <c r="I26" s="3" t="s">
        <v>82</v>
      </c>
      <c r="J26" s="35" t="s">
        <v>0</v>
      </c>
      <c r="K26" s="36" t="s">
        <v>28</v>
      </c>
      <c r="L26" s="36" t="s">
        <v>1</v>
      </c>
      <c r="M26" s="36" t="s">
        <v>30</v>
      </c>
      <c r="N26" s="36" t="s">
        <v>2</v>
      </c>
      <c r="O26" s="36" t="s">
        <v>3</v>
      </c>
      <c r="P26" s="161" t="s">
        <v>4</v>
      </c>
      <c r="Q26" s="176" t="s">
        <v>50</v>
      </c>
      <c r="S26" s="200" t="s">
        <v>0</v>
      </c>
      <c r="T26" s="201" t="s">
        <v>28</v>
      </c>
      <c r="U26" s="201" t="s">
        <v>1</v>
      </c>
      <c r="V26" s="201" t="s">
        <v>30</v>
      </c>
      <c r="W26" s="201" t="s">
        <v>2</v>
      </c>
      <c r="X26" s="201" t="s">
        <v>3</v>
      </c>
      <c r="Y26" s="202" t="s">
        <v>4</v>
      </c>
      <c r="Z26" s="176" t="s">
        <v>82</v>
      </c>
    </row>
    <row r="27" spans="1:26">
      <c r="B27" s="30" t="s">
        <v>5</v>
      </c>
      <c r="C27" s="31">
        <v>1.45</v>
      </c>
      <c r="D27" s="31" t="s">
        <v>6</v>
      </c>
      <c r="E27" s="32" t="s">
        <v>32</v>
      </c>
      <c r="F27" s="33">
        <v>26130</v>
      </c>
      <c r="G27" s="32">
        <v>1474</v>
      </c>
      <c r="H27" s="159">
        <f t="shared" ref="H27" si="4">SUM(F27/G27)</f>
        <v>17.727272727272727</v>
      </c>
      <c r="I27" s="3">
        <v>805</v>
      </c>
      <c r="J27" s="163" t="s">
        <v>56</v>
      </c>
      <c r="K27" s="170">
        <v>2.2999999999999998</v>
      </c>
      <c r="L27" s="170" t="s">
        <v>6</v>
      </c>
      <c r="M27" s="170" t="s">
        <v>9</v>
      </c>
      <c r="N27" s="178">
        <v>31460</v>
      </c>
      <c r="O27" s="170">
        <v>2422</v>
      </c>
      <c r="P27" s="177">
        <f t="shared" ref="P27:P30" si="5">SUM(N27/O27)</f>
        <v>12.989265070189926</v>
      </c>
      <c r="Q27" s="22">
        <v>1516</v>
      </c>
      <c r="S27" s="203" t="s">
        <v>83</v>
      </c>
      <c r="T27" s="189">
        <v>1.35</v>
      </c>
      <c r="U27" s="189" t="s">
        <v>77</v>
      </c>
      <c r="V27" s="189" t="s">
        <v>80</v>
      </c>
      <c r="W27" s="204">
        <v>10750</v>
      </c>
      <c r="X27" s="189">
        <v>1148</v>
      </c>
      <c r="Y27" s="205">
        <f t="shared" ref="Y27:Y28" si="6">SUM(W27/X27)</f>
        <v>9.3641114982578397</v>
      </c>
      <c r="Z27" s="22">
        <v>561</v>
      </c>
    </row>
    <row r="28" spans="1:26">
      <c r="B28" s="25" t="s">
        <v>69</v>
      </c>
      <c r="C28" s="26">
        <v>2.1</v>
      </c>
      <c r="D28" s="26" t="s">
        <v>70</v>
      </c>
      <c r="E28" s="27" t="s">
        <v>72</v>
      </c>
      <c r="F28" s="28">
        <v>21210</v>
      </c>
      <c r="G28" s="27">
        <v>2368</v>
      </c>
      <c r="H28" s="159">
        <f>SUM(F28/G28)</f>
        <v>8.9569256756756754</v>
      </c>
      <c r="I28" s="3">
        <v>1476</v>
      </c>
      <c r="J28" s="25" t="s">
        <v>6</v>
      </c>
      <c r="K28" s="26">
        <v>2.1</v>
      </c>
      <c r="L28" s="26" t="s">
        <v>8</v>
      </c>
      <c r="M28" s="27" t="s">
        <v>32</v>
      </c>
      <c r="N28" s="28">
        <v>21210</v>
      </c>
      <c r="O28" s="27">
        <v>2368</v>
      </c>
      <c r="P28" s="177">
        <f t="shared" si="5"/>
        <v>8.9569256756756754</v>
      </c>
      <c r="Q28" s="22">
        <v>1476</v>
      </c>
      <c r="R28" s="22"/>
      <c r="S28" s="206" t="s">
        <v>5</v>
      </c>
      <c r="T28" s="207">
        <v>1.45</v>
      </c>
      <c r="U28" s="207" t="s">
        <v>6</v>
      </c>
      <c r="V28" s="208" t="s">
        <v>32</v>
      </c>
      <c r="W28" s="209">
        <v>15280</v>
      </c>
      <c r="X28" s="208">
        <v>1205</v>
      </c>
      <c r="Y28" s="205">
        <f t="shared" si="6"/>
        <v>12.680497925311203</v>
      </c>
      <c r="Z28" s="22">
        <v>603</v>
      </c>
    </row>
    <row r="29" spans="1:26">
      <c r="B29" s="25" t="s">
        <v>70</v>
      </c>
      <c r="C29" s="26">
        <v>1.05</v>
      </c>
      <c r="D29" s="27" t="s">
        <v>56</v>
      </c>
      <c r="E29" s="27" t="s">
        <v>32</v>
      </c>
      <c r="F29" s="28">
        <v>9930</v>
      </c>
      <c r="G29" s="27">
        <v>786</v>
      </c>
      <c r="H29" s="159">
        <f>SUM(F29/G29)</f>
        <v>12.633587786259541</v>
      </c>
      <c r="I29" s="3">
        <v>289</v>
      </c>
      <c r="J29" s="25" t="s">
        <v>8</v>
      </c>
      <c r="K29" s="26">
        <v>2.1</v>
      </c>
      <c r="L29" s="26" t="s">
        <v>6</v>
      </c>
      <c r="M29" s="27" t="s">
        <v>32</v>
      </c>
      <c r="N29" s="28">
        <v>21210</v>
      </c>
      <c r="O29" s="27">
        <v>2368</v>
      </c>
      <c r="P29" s="177">
        <f t="shared" si="5"/>
        <v>8.9569256756756754</v>
      </c>
      <c r="Q29" s="22">
        <v>1476</v>
      </c>
      <c r="R29" s="23"/>
      <c r="S29" s="206" t="s">
        <v>6</v>
      </c>
      <c r="T29" s="207">
        <v>2.1</v>
      </c>
      <c r="U29" s="207" t="s">
        <v>8</v>
      </c>
      <c r="V29" s="208" t="s">
        <v>32</v>
      </c>
      <c r="W29" s="209">
        <v>21210</v>
      </c>
      <c r="X29" s="208">
        <v>2368</v>
      </c>
      <c r="Y29" s="210">
        <f>SUM(W29/X29)</f>
        <v>8.9569256756756754</v>
      </c>
      <c r="Z29" s="22">
        <v>1476</v>
      </c>
    </row>
    <row r="30" spans="1:26">
      <c r="B30" s="25"/>
      <c r="C30" s="26"/>
      <c r="D30" s="27"/>
      <c r="E30" s="27"/>
      <c r="F30" s="28"/>
      <c r="G30" s="27"/>
      <c r="H30" s="159"/>
      <c r="I30" s="3"/>
      <c r="J30" s="25" t="s">
        <v>6</v>
      </c>
      <c r="K30" s="26">
        <v>1.45</v>
      </c>
      <c r="L30" s="27" t="s">
        <v>5</v>
      </c>
      <c r="M30" s="27" t="s">
        <v>84</v>
      </c>
      <c r="N30" s="28">
        <v>15280</v>
      </c>
      <c r="O30" s="27">
        <v>1205</v>
      </c>
      <c r="P30" s="177">
        <f t="shared" si="5"/>
        <v>12.680497925311203</v>
      </c>
      <c r="Q30" s="22">
        <v>603</v>
      </c>
      <c r="R30" s="23"/>
      <c r="S30" s="206" t="s">
        <v>8</v>
      </c>
      <c r="T30" s="207">
        <v>2.1</v>
      </c>
      <c r="U30" s="208" t="s">
        <v>6</v>
      </c>
      <c r="V30" s="208" t="s">
        <v>32</v>
      </c>
      <c r="W30" s="209">
        <v>21210</v>
      </c>
      <c r="X30" s="208">
        <v>2368</v>
      </c>
      <c r="Y30" s="210">
        <f>SUM(W30/X30)</f>
        <v>8.9569256756756754</v>
      </c>
      <c r="Z30" s="22">
        <v>1476</v>
      </c>
    </row>
    <row r="31" spans="1:26" ht="19" thickBot="1">
      <c r="B31" s="25"/>
      <c r="C31" s="26"/>
      <c r="D31" s="27"/>
      <c r="E31" s="27"/>
      <c r="F31" s="28"/>
      <c r="G31" s="40"/>
      <c r="H31" s="159"/>
      <c r="I31" s="3"/>
      <c r="J31" s="25"/>
      <c r="K31" s="26"/>
      <c r="L31" s="27"/>
      <c r="M31" s="27"/>
      <c r="N31" s="28"/>
      <c r="O31" s="40"/>
      <c r="P31" s="159"/>
      <c r="Q31" s="22"/>
      <c r="R31" s="23"/>
      <c r="S31" s="206" t="s">
        <v>78</v>
      </c>
      <c r="T31" s="207">
        <v>1.45</v>
      </c>
      <c r="U31" s="208" t="s">
        <v>77</v>
      </c>
      <c r="V31" s="208" t="s">
        <v>81</v>
      </c>
      <c r="W31" s="209">
        <v>25280</v>
      </c>
      <c r="X31" s="208">
        <v>1742</v>
      </c>
      <c r="Y31" s="210">
        <f>SUM(W31/X31)</f>
        <v>14.512055109070035</v>
      </c>
      <c r="Z31" s="22">
        <v>1006</v>
      </c>
    </row>
    <row r="32" spans="1:26" ht="20" thickTop="1" thickBot="1">
      <c r="B32" s="80" t="s">
        <v>29</v>
      </c>
      <c r="C32" s="81">
        <f>SUM(C27:C31)</f>
        <v>4.5999999999999996</v>
      </c>
      <c r="D32" s="82" t="s">
        <v>39</v>
      </c>
      <c r="E32" s="43"/>
      <c r="F32" s="44">
        <f>SUM(F27:F31)</f>
        <v>57270</v>
      </c>
      <c r="G32" s="43">
        <f>SUM(G27:G31)</f>
        <v>4628</v>
      </c>
      <c r="H32" s="160">
        <f t="shared" ref="H32" si="7">SUM(F32/G32)</f>
        <v>12.374675885911842</v>
      </c>
      <c r="I32" s="3">
        <f>SUM(I27:I31)</f>
        <v>2570</v>
      </c>
      <c r="J32" s="80" t="s">
        <v>29</v>
      </c>
      <c r="K32" s="81">
        <f>SUM(K27:K31)</f>
        <v>7.95</v>
      </c>
      <c r="L32" s="82" t="s">
        <v>39</v>
      </c>
      <c r="M32" s="43"/>
      <c r="N32" s="44">
        <f>SUM(N27:N31)</f>
        <v>89160</v>
      </c>
      <c r="O32" s="43">
        <f>SUM(O27:O31)</f>
        <v>8363</v>
      </c>
      <c r="P32" s="160">
        <f>SUM(N32/O32)</f>
        <v>10.661245964366854</v>
      </c>
      <c r="Q32" s="23">
        <f>SUM(Q25:Q31)</f>
        <v>5071</v>
      </c>
      <c r="R32" s="23"/>
      <c r="S32" s="206"/>
      <c r="T32" s="207"/>
      <c r="U32" s="208"/>
      <c r="V32" s="208"/>
      <c r="W32" s="209"/>
      <c r="X32" s="211"/>
      <c r="Y32" s="210"/>
      <c r="Z32" s="23"/>
    </row>
    <row r="33" spans="2:26" ht="20" thickTop="1" thickBot="1">
      <c r="B33" s="173"/>
      <c r="C33" s="158"/>
      <c r="D33" s="158"/>
      <c r="E33" s="22"/>
      <c r="F33" s="158"/>
      <c r="G33" s="83"/>
      <c r="H33" s="83"/>
      <c r="Q33" s="23"/>
      <c r="R33" s="23"/>
      <c r="S33" s="212" t="s">
        <v>29</v>
      </c>
      <c r="T33" s="213">
        <f>SUM(T27:T32)</f>
        <v>8.4499999999999993</v>
      </c>
      <c r="U33" s="214" t="s">
        <v>39</v>
      </c>
      <c r="V33" s="215"/>
      <c r="W33" s="216">
        <f>SUM(W27:W32)</f>
        <v>93730</v>
      </c>
      <c r="X33" s="215">
        <f>SUM(X27:X32)</f>
        <v>8831</v>
      </c>
      <c r="Y33" s="217">
        <f>SUM(W33/X33)</f>
        <v>10.613747027516702</v>
      </c>
      <c r="Z33" s="23">
        <f>SUM(Z26:Z32)</f>
        <v>5122</v>
      </c>
    </row>
    <row r="34" spans="2:26">
      <c r="B34" s="22"/>
      <c r="C34" s="22"/>
      <c r="D34" s="22"/>
      <c r="E34" s="23"/>
      <c r="F34" s="24"/>
      <c r="G34" s="23"/>
      <c r="H34"/>
      <c r="N34" t="s">
        <v>85</v>
      </c>
      <c r="O34" s="218">
        <f>SUM(G32+O32)</f>
        <v>12991</v>
      </c>
      <c r="P34" s="22"/>
      <c r="Q34" s="23"/>
      <c r="R34" s="23"/>
      <c r="S34" s="24"/>
      <c r="T34" s="23"/>
      <c r="U34" s="65"/>
    </row>
    <row r="35" spans="2:26">
      <c r="J35"/>
      <c r="K35"/>
      <c r="L35"/>
      <c r="N35" t="s">
        <v>86</v>
      </c>
      <c r="O35" s="218">
        <f>SUM(I32+Q32)</f>
        <v>7641</v>
      </c>
      <c r="Q35" s="22"/>
    </row>
    <row r="36" spans="2:26">
      <c r="J36" s="148"/>
      <c r="K36" s="158"/>
      <c r="L36" s="158"/>
      <c r="M36" s="22"/>
      <c r="N36" s="158"/>
      <c r="O36" s="24"/>
      <c r="P36" s="23"/>
      <c r="Q36" s="22"/>
    </row>
    <row r="37" spans="2:26">
      <c r="J37" s="148"/>
      <c r="K37" s="158"/>
      <c r="L37" s="158"/>
      <c r="M37" s="22"/>
      <c r="N37" s="158"/>
      <c r="O37" s="24"/>
      <c r="P37" s="23"/>
      <c r="Q37" s="22"/>
    </row>
    <row r="38" spans="2:26">
      <c r="J38" s="148"/>
      <c r="K38" s="158"/>
      <c r="L38" s="158"/>
      <c r="M38" s="22"/>
      <c r="N38" s="158"/>
      <c r="O38" s="24"/>
      <c r="P38" s="23"/>
      <c r="Q38" s="23"/>
    </row>
    <row r="39" spans="2:26">
      <c r="J39" s="148"/>
      <c r="K39" s="158"/>
      <c r="L39" s="158"/>
      <c r="M39" s="22"/>
      <c r="N39" s="158"/>
      <c r="O39" s="24"/>
      <c r="P39" s="23"/>
      <c r="Q39" s="23"/>
    </row>
    <row r="40" spans="2:26">
      <c r="J40" s="148"/>
      <c r="K40" s="158"/>
      <c r="L40" s="158"/>
      <c r="M40" s="22"/>
      <c r="N40" s="158"/>
      <c r="O40" s="24"/>
      <c r="P40" s="23"/>
      <c r="Q40" s="23"/>
    </row>
    <row r="41" spans="2:26">
      <c r="J41" s="22"/>
      <c r="K41" s="22"/>
      <c r="L41" s="23"/>
      <c r="M41" s="24"/>
      <c r="O41" s="22"/>
      <c r="P41" s="22"/>
      <c r="Q41" s="22"/>
    </row>
    <row r="42" spans="2:26">
      <c r="J42" s="22"/>
      <c r="K42" s="22"/>
      <c r="L42" s="22"/>
      <c r="M42" s="22"/>
      <c r="N42" s="22"/>
      <c r="O42" s="22"/>
      <c r="P42" s="65"/>
      <c r="Q42" s="22"/>
    </row>
    <row r="43" spans="2:26">
      <c r="J43" s="22"/>
      <c r="K43" s="22"/>
      <c r="L43" s="22"/>
      <c r="M43" s="22"/>
      <c r="N43" s="64"/>
      <c r="O43" s="22"/>
      <c r="P43" s="65"/>
      <c r="Q43" s="22"/>
    </row>
    <row r="44" spans="2:26">
      <c r="J44" s="22"/>
      <c r="K44" s="22"/>
      <c r="L44" s="22"/>
      <c r="M44" s="23"/>
      <c r="N44" s="24"/>
      <c r="O44" s="23"/>
      <c r="P44" s="65"/>
      <c r="Q44" s="22"/>
    </row>
    <row r="45" spans="2:26">
      <c r="J45" s="22"/>
      <c r="K45" s="22"/>
      <c r="L45" s="22"/>
      <c r="M45" s="23"/>
      <c r="N45" s="24"/>
      <c r="O45" s="23"/>
      <c r="P45" s="65"/>
      <c r="Q45" s="22"/>
    </row>
    <row r="46" spans="2:26">
      <c r="J46" s="22"/>
      <c r="K46" s="22"/>
      <c r="L46" s="23"/>
      <c r="M46" s="23"/>
      <c r="N46" s="24"/>
      <c r="O46" s="23"/>
      <c r="P46" s="65"/>
      <c r="Q46" s="22"/>
    </row>
    <row r="47" spans="2:26">
      <c r="J47" s="22"/>
      <c r="K47" s="22"/>
      <c r="L47" s="23"/>
      <c r="M47" s="23"/>
      <c r="N47" s="24"/>
      <c r="O47" s="23"/>
      <c r="P47" s="65"/>
      <c r="Q47" s="22"/>
    </row>
    <row r="48" spans="2:26">
      <c r="J48" s="22"/>
      <c r="K48" s="22"/>
      <c r="L48" s="22"/>
      <c r="M48" s="23"/>
      <c r="N48" s="24"/>
      <c r="O48" s="23"/>
      <c r="P48" s="65"/>
      <c r="Q48" s="23"/>
    </row>
    <row r="49" spans="10:17">
      <c r="J49" s="4"/>
      <c r="K49" s="4"/>
      <c r="L49" s="4"/>
      <c r="Q49" s="23"/>
    </row>
  </sheetData>
  <mergeCells count="15">
    <mergeCell ref="A9:A10"/>
    <mergeCell ref="A11:A12"/>
    <mergeCell ref="A13:A14"/>
    <mergeCell ref="A15:A16"/>
    <mergeCell ref="C17:E17"/>
    <mergeCell ref="A3:C3"/>
    <mergeCell ref="D3:H3"/>
    <mergeCell ref="I3:M3"/>
    <mergeCell ref="A5:A6"/>
    <mergeCell ref="A7:A8"/>
    <mergeCell ref="S21:S24"/>
    <mergeCell ref="B19:H19"/>
    <mergeCell ref="S19:Y19"/>
    <mergeCell ref="J19:P19"/>
    <mergeCell ref="J20:J24"/>
  </mergeCells>
  <phoneticPr fontId="2"/>
  <pageMargins left="0.70866141732283472" right="0.70866141732283472" top="0.74803149606299213" bottom="0.74803149606299213" header="0.31496062992125984" footer="0.31496062992125984"/>
  <pageSetup paperSize="8" scale="6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350E-F124-4432-BF60-615B158FED1A}">
  <dimension ref="A2:T58"/>
  <sheetViews>
    <sheetView zoomScale="70" zoomScaleNormal="70" workbookViewId="0">
      <selection activeCell="E23" sqref="E23"/>
    </sheetView>
  </sheetViews>
  <sheetFormatPr baseColWidth="10" defaultColWidth="8.83203125" defaultRowHeight="18"/>
  <cols>
    <col min="1" max="1" width="3.5" bestFit="1" customWidth="1"/>
    <col min="4" max="5" width="9" style="1"/>
    <col min="6" max="6" width="10" style="2" bestFit="1" customWidth="1"/>
    <col min="7" max="7" width="11.5" style="1" bestFit="1" customWidth="1"/>
    <col min="8" max="8" width="18.33203125" style="1" bestFit="1" customWidth="1"/>
    <col min="9" max="10" width="9" style="1"/>
    <col min="12" max="12" width="11.5" bestFit="1" customWidth="1"/>
    <col min="13" max="13" width="13.33203125" bestFit="1" customWidth="1"/>
    <col min="14" max="14" width="10.5" bestFit="1" customWidth="1"/>
    <col min="16" max="16" width="11" bestFit="1" customWidth="1"/>
  </cols>
  <sheetData>
    <row r="2" spans="1:20" ht="19" thickBot="1">
      <c r="B2" t="s">
        <v>17</v>
      </c>
      <c r="O2" t="s">
        <v>17</v>
      </c>
    </row>
    <row r="3" spans="1:20">
      <c r="A3" s="294"/>
      <c r="B3" s="295"/>
      <c r="C3" s="296"/>
      <c r="D3" s="297" t="s">
        <v>18</v>
      </c>
      <c r="E3" s="297"/>
      <c r="F3" s="297"/>
      <c r="G3" s="297"/>
      <c r="H3" s="18"/>
      <c r="I3" s="306" t="s">
        <v>19</v>
      </c>
      <c r="J3" s="297"/>
      <c r="K3" s="297"/>
      <c r="L3" s="297"/>
      <c r="M3" s="12"/>
      <c r="O3" t="s">
        <v>5</v>
      </c>
      <c r="P3" t="s">
        <v>6</v>
      </c>
      <c r="Q3" s="4" t="s">
        <v>2</v>
      </c>
      <c r="R3" s="4" t="s">
        <v>3</v>
      </c>
      <c r="S3" s="2" t="s">
        <v>4</v>
      </c>
      <c r="T3" s="4" t="s">
        <v>7</v>
      </c>
    </row>
    <row r="4" spans="1:20" ht="19" thickBot="1">
      <c r="A4" s="13"/>
      <c r="B4" s="14" t="s">
        <v>0</v>
      </c>
      <c r="C4" s="14" t="s">
        <v>1</v>
      </c>
      <c r="D4" s="15" t="s">
        <v>2</v>
      </c>
      <c r="E4" s="15" t="s">
        <v>3</v>
      </c>
      <c r="F4" s="16" t="s">
        <v>4</v>
      </c>
      <c r="G4" s="15" t="s">
        <v>33</v>
      </c>
      <c r="H4" s="19" t="s">
        <v>22</v>
      </c>
      <c r="I4" s="20" t="s">
        <v>2</v>
      </c>
      <c r="J4" s="15" t="s">
        <v>3</v>
      </c>
      <c r="K4" s="16" t="s">
        <v>4</v>
      </c>
      <c r="L4" s="15" t="s">
        <v>33</v>
      </c>
      <c r="M4" s="17" t="s">
        <v>22</v>
      </c>
      <c r="O4" s="48" t="s">
        <v>10</v>
      </c>
      <c r="P4" s="48" t="s">
        <v>11</v>
      </c>
      <c r="Q4" s="49">
        <v>20630</v>
      </c>
      <c r="R4" s="49">
        <v>1742</v>
      </c>
      <c r="S4" s="50">
        <f>SUM(Q4/R4)</f>
        <v>11.842709529276693</v>
      </c>
      <c r="T4" s="49">
        <f>SUM(R4*2)</f>
        <v>3484</v>
      </c>
    </row>
    <row r="5" spans="1:20">
      <c r="A5" s="5">
        <v>1</v>
      </c>
      <c r="B5" s="53" t="s">
        <v>5</v>
      </c>
      <c r="C5" s="54" t="s">
        <v>6</v>
      </c>
      <c r="D5" s="55">
        <v>20630</v>
      </c>
      <c r="E5" s="55">
        <v>1742</v>
      </c>
      <c r="F5" s="56">
        <f>SUM(D5/E5)</f>
        <v>11.842709529276693</v>
      </c>
      <c r="G5" s="55">
        <f>SUM(E5*2)</f>
        <v>3484</v>
      </c>
      <c r="H5" s="57"/>
      <c r="I5" s="58">
        <v>10530</v>
      </c>
      <c r="J5" s="55">
        <v>805</v>
      </c>
      <c r="K5" s="56">
        <f>SUM(I5/J5)</f>
        <v>13.080745341614907</v>
      </c>
      <c r="L5" s="55">
        <f>SUM(J5*2)</f>
        <v>1610</v>
      </c>
      <c r="M5" s="6"/>
      <c r="O5" t="s">
        <v>10</v>
      </c>
      <c r="P5" t="s">
        <v>12</v>
      </c>
      <c r="Q5" s="4">
        <v>38830</v>
      </c>
      <c r="R5" s="4">
        <v>2011</v>
      </c>
      <c r="S5" s="2">
        <f>SUM(Q5/R5)</f>
        <v>19.308801591248134</v>
      </c>
      <c r="T5" s="4">
        <f t="shared" ref="T5:T8" si="0">SUM(R5*2)</f>
        <v>4022</v>
      </c>
    </row>
    <row r="6" spans="1:20">
      <c r="A6" s="7">
        <v>2</v>
      </c>
      <c r="B6" s="9" t="s">
        <v>6</v>
      </c>
      <c r="C6" s="10" t="s">
        <v>5</v>
      </c>
      <c r="D6" s="59">
        <v>20630</v>
      </c>
      <c r="E6" s="59">
        <v>1742</v>
      </c>
      <c r="F6" s="60">
        <f>SUM(D6/E6)</f>
        <v>11.842709529276693</v>
      </c>
      <c r="G6" s="59">
        <f t="shared" ref="G6:G14" si="1">SUM(E6*2)</f>
        <v>3484</v>
      </c>
      <c r="H6" s="61"/>
      <c r="I6" s="62">
        <v>10030</v>
      </c>
      <c r="J6" s="59">
        <v>805</v>
      </c>
      <c r="K6" s="60">
        <f t="shared" ref="K6:K12" si="2">SUM(I6/J6)</f>
        <v>12.459627329192546</v>
      </c>
      <c r="L6" s="59">
        <f t="shared" ref="L6:L8" si="3">SUM(J6*2)</f>
        <v>1610</v>
      </c>
      <c r="M6" s="8"/>
      <c r="O6" s="48" t="s">
        <v>13</v>
      </c>
      <c r="P6" s="48" t="s">
        <v>14</v>
      </c>
      <c r="Q6" s="49">
        <v>10530</v>
      </c>
      <c r="R6" s="49">
        <v>805</v>
      </c>
      <c r="S6" s="50">
        <f t="shared" ref="S6:S8" si="4">SUM(Q6/R6)</f>
        <v>13.080745341614907</v>
      </c>
      <c r="T6" s="49">
        <f t="shared" si="0"/>
        <v>1610</v>
      </c>
    </row>
    <row r="7" spans="1:20">
      <c r="A7" s="7">
        <v>3</v>
      </c>
      <c r="B7" s="70" t="s">
        <v>5</v>
      </c>
      <c r="C7" s="71" t="s">
        <v>20</v>
      </c>
      <c r="D7" s="59" t="s">
        <v>21</v>
      </c>
      <c r="E7" s="59" t="s">
        <v>21</v>
      </c>
      <c r="F7" s="60" t="s">
        <v>21</v>
      </c>
      <c r="G7" s="59" t="s">
        <v>21</v>
      </c>
      <c r="H7" s="61"/>
      <c r="I7" s="62">
        <v>22580</v>
      </c>
      <c r="J7" s="59">
        <v>1323</v>
      </c>
      <c r="K7" s="69">
        <f t="shared" si="2"/>
        <v>17.067271352985639</v>
      </c>
      <c r="L7" s="59">
        <f t="shared" si="3"/>
        <v>2646</v>
      </c>
      <c r="M7" s="8"/>
      <c r="O7" t="s">
        <v>13</v>
      </c>
      <c r="P7" t="s">
        <v>15</v>
      </c>
      <c r="Q7" s="4">
        <v>26030</v>
      </c>
      <c r="R7" s="4">
        <v>1205</v>
      </c>
      <c r="S7" s="2">
        <f t="shared" si="4"/>
        <v>21.601659751037346</v>
      </c>
      <c r="T7" s="4">
        <f t="shared" si="0"/>
        <v>2410</v>
      </c>
    </row>
    <row r="8" spans="1:20">
      <c r="A8" s="7">
        <v>4</v>
      </c>
      <c r="B8" s="70" t="s">
        <v>20</v>
      </c>
      <c r="C8" s="71" t="s">
        <v>5</v>
      </c>
      <c r="D8" s="59" t="s">
        <v>21</v>
      </c>
      <c r="E8" s="59" t="s">
        <v>21</v>
      </c>
      <c r="F8" s="60" t="s">
        <v>21</v>
      </c>
      <c r="G8" s="59" t="s">
        <v>21</v>
      </c>
      <c r="H8" s="61"/>
      <c r="I8" s="62">
        <v>22580</v>
      </c>
      <c r="J8" s="59">
        <v>1323</v>
      </c>
      <c r="K8" s="69">
        <f t="shared" si="2"/>
        <v>17.067271352985639</v>
      </c>
      <c r="L8" s="59">
        <f t="shared" si="3"/>
        <v>2646</v>
      </c>
      <c r="M8" s="8"/>
      <c r="O8" t="s">
        <v>13</v>
      </c>
      <c r="P8" t="s">
        <v>16</v>
      </c>
      <c r="Q8" s="4">
        <v>30330</v>
      </c>
      <c r="R8" s="4">
        <v>1474</v>
      </c>
      <c r="S8" s="2">
        <f t="shared" si="4"/>
        <v>20.576662143826322</v>
      </c>
      <c r="T8" s="4">
        <f t="shared" si="0"/>
        <v>2948</v>
      </c>
    </row>
    <row r="9" spans="1:20">
      <c r="A9" s="7">
        <v>5</v>
      </c>
      <c r="B9" s="72" t="s">
        <v>6</v>
      </c>
      <c r="C9" s="73" t="s">
        <v>8</v>
      </c>
      <c r="D9" s="59">
        <v>35010</v>
      </c>
      <c r="E9" s="59">
        <v>2860</v>
      </c>
      <c r="F9" s="60">
        <f>SUM(D9/E9)</f>
        <v>12.241258741258742</v>
      </c>
      <c r="G9" s="59">
        <f t="shared" ref="G9:G10" si="5">SUM(E9*2)</f>
        <v>5720</v>
      </c>
      <c r="H9" s="61"/>
      <c r="I9" s="62">
        <v>10910</v>
      </c>
      <c r="J9" s="59">
        <v>1476</v>
      </c>
      <c r="K9" s="74">
        <f t="shared" ref="K9:K10" si="6">SUM(I9/J9)</f>
        <v>7.3915989159891602</v>
      </c>
      <c r="L9" s="59">
        <f t="shared" ref="L9:L10" si="7">SUM(J9*2)</f>
        <v>2952</v>
      </c>
      <c r="M9" s="8"/>
      <c r="Q9" s="4"/>
      <c r="R9" s="4"/>
      <c r="S9" s="2"/>
      <c r="T9" s="4"/>
    </row>
    <row r="10" spans="1:20">
      <c r="A10" s="7">
        <v>6</v>
      </c>
      <c r="B10" s="9" t="s">
        <v>8</v>
      </c>
      <c r="C10" s="10" t="s">
        <v>6</v>
      </c>
      <c r="D10" s="59">
        <v>37710</v>
      </c>
      <c r="E10" s="59">
        <v>2860</v>
      </c>
      <c r="F10" s="60">
        <f t="shared" ref="F10" si="8">SUM(D10/E10)</f>
        <v>13.185314685314685</v>
      </c>
      <c r="G10" s="59">
        <f t="shared" si="5"/>
        <v>5720</v>
      </c>
      <c r="H10" s="61"/>
      <c r="I10" s="62">
        <v>18610</v>
      </c>
      <c r="J10" s="59">
        <v>1476</v>
      </c>
      <c r="K10" s="60">
        <f t="shared" si="6"/>
        <v>12.60840108401084</v>
      </c>
      <c r="L10" s="59">
        <f t="shared" si="7"/>
        <v>2952</v>
      </c>
      <c r="M10" s="8"/>
      <c r="O10" t="s">
        <v>40</v>
      </c>
      <c r="Q10" s="4"/>
      <c r="R10" s="4"/>
      <c r="S10" s="2"/>
      <c r="T10" s="4"/>
    </row>
    <row r="11" spans="1:20">
      <c r="A11" s="7">
        <v>7</v>
      </c>
      <c r="B11" s="70" t="s">
        <v>5</v>
      </c>
      <c r="C11" s="71" t="s">
        <v>8</v>
      </c>
      <c r="D11" s="59">
        <v>49150</v>
      </c>
      <c r="E11" s="59">
        <v>2101</v>
      </c>
      <c r="F11" s="69">
        <f t="shared" ref="F11:F14" si="9">SUM(D11/E11)</f>
        <v>23.39362208472156</v>
      </c>
      <c r="G11" s="59">
        <f t="shared" si="1"/>
        <v>4202</v>
      </c>
      <c r="H11" s="61" t="s">
        <v>23</v>
      </c>
      <c r="I11" s="62">
        <v>15400</v>
      </c>
      <c r="J11" s="59">
        <v>850</v>
      </c>
      <c r="K11" s="69">
        <f t="shared" si="2"/>
        <v>18.117647058823529</v>
      </c>
      <c r="L11" s="59">
        <f>SUM(J11*2)</f>
        <v>1700</v>
      </c>
      <c r="M11" s="8"/>
      <c r="O11" t="s">
        <v>5</v>
      </c>
      <c r="P11" t="s">
        <v>28</v>
      </c>
      <c r="Q11" s="4" t="s">
        <v>38</v>
      </c>
      <c r="R11" s="4"/>
      <c r="S11" s="2"/>
      <c r="T11" s="4"/>
    </row>
    <row r="12" spans="1:20">
      <c r="A12" s="7">
        <v>8</v>
      </c>
      <c r="B12" s="70" t="s">
        <v>8</v>
      </c>
      <c r="C12" s="71" t="s">
        <v>5</v>
      </c>
      <c r="D12" s="59">
        <v>43000</v>
      </c>
      <c r="E12" s="59">
        <v>1817</v>
      </c>
      <c r="F12" s="69">
        <f t="shared" si="9"/>
        <v>23.665382498624105</v>
      </c>
      <c r="G12" s="59">
        <f t="shared" si="1"/>
        <v>3634</v>
      </c>
      <c r="H12" s="61" t="s">
        <v>24</v>
      </c>
      <c r="I12" s="62">
        <v>12800</v>
      </c>
      <c r="J12" s="59">
        <v>850</v>
      </c>
      <c r="K12" s="69">
        <f t="shared" si="2"/>
        <v>15.058823529411764</v>
      </c>
      <c r="L12" s="59">
        <f>SUM(J12*2)</f>
        <v>1700</v>
      </c>
      <c r="M12" s="8"/>
      <c r="O12" t="s">
        <v>6</v>
      </c>
      <c r="P12" t="s">
        <v>28</v>
      </c>
      <c r="Q12" t="s">
        <v>5</v>
      </c>
    </row>
    <row r="13" spans="1:20">
      <c r="A13" s="7">
        <v>9</v>
      </c>
      <c r="B13" s="9" t="s">
        <v>6</v>
      </c>
      <c r="C13" s="10" t="s">
        <v>20</v>
      </c>
      <c r="D13" s="59">
        <v>45390</v>
      </c>
      <c r="E13" s="59">
        <v>3892</v>
      </c>
      <c r="F13" s="60">
        <f t="shared" si="9"/>
        <v>11.662384378211716</v>
      </c>
      <c r="G13" s="59">
        <f t="shared" si="1"/>
        <v>7784</v>
      </c>
      <c r="H13" s="61" t="s">
        <v>25</v>
      </c>
      <c r="I13" s="62">
        <v>22990</v>
      </c>
      <c r="J13" s="59">
        <v>2095</v>
      </c>
      <c r="K13" s="60">
        <f t="shared" ref="K13:K14" si="10">SUM(I13/J13)</f>
        <v>10.973747016706444</v>
      </c>
      <c r="L13" s="84">
        <f t="shared" ref="L13:L14" si="11">SUM(J13*2)</f>
        <v>4190</v>
      </c>
      <c r="M13" s="8" t="s">
        <v>27</v>
      </c>
    </row>
    <row r="14" spans="1:20">
      <c r="A14" s="7">
        <v>10</v>
      </c>
      <c r="B14" s="51" t="s">
        <v>20</v>
      </c>
      <c r="C14" s="52" t="s">
        <v>6</v>
      </c>
      <c r="D14" s="59">
        <v>40990</v>
      </c>
      <c r="E14" s="59">
        <v>3892</v>
      </c>
      <c r="F14" s="47">
        <f t="shared" si="9"/>
        <v>10.531860226104831</v>
      </c>
      <c r="G14" s="84">
        <f t="shared" si="1"/>
        <v>7784</v>
      </c>
      <c r="H14" s="61" t="s">
        <v>26</v>
      </c>
      <c r="I14" s="62">
        <v>22990</v>
      </c>
      <c r="J14" s="59">
        <v>2095</v>
      </c>
      <c r="K14" s="60">
        <f t="shared" si="10"/>
        <v>10.973747016706444</v>
      </c>
      <c r="L14" s="84">
        <f t="shared" si="11"/>
        <v>4190</v>
      </c>
      <c r="M14" s="8" t="s">
        <v>27</v>
      </c>
    </row>
    <row r="15" spans="1:20">
      <c r="A15" s="7">
        <v>11</v>
      </c>
      <c r="B15" s="9" t="s">
        <v>5</v>
      </c>
      <c r="C15" s="10" t="s">
        <v>34</v>
      </c>
      <c r="D15" s="59">
        <v>16450</v>
      </c>
      <c r="E15" s="59">
        <v>1224</v>
      </c>
      <c r="F15" s="60">
        <f t="shared" ref="F15:F23" si="12">SUM(D15/E15)</f>
        <v>13.43954248366013</v>
      </c>
      <c r="G15" s="59">
        <f t="shared" ref="G15:G23" si="13">SUM(E15*2)</f>
        <v>2448</v>
      </c>
      <c r="H15" s="61" t="s">
        <v>35</v>
      </c>
      <c r="I15" s="66"/>
      <c r="J15" s="67"/>
      <c r="K15" s="67"/>
      <c r="L15" s="67"/>
      <c r="M15" s="68"/>
    </row>
    <row r="16" spans="1:20">
      <c r="A16" s="7">
        <v>12</v>
      </c>
      <c r="B16" s="70" t="s">
        <v>5</v>
      </c>
      <c r="C16" s="71" t="s">
        <v>36</v>
      </c>
      <c r="D16" s="59">
        <v>26010</v>
      </c>
      <c r="E16" s="59">
        <v>2242</v>
      </c>
      <c r="F16" s="60">
        <f t="shared" si="12"/>
        <v>11.601248884924175</v>
      </c>
      <c r="G16" s="59">
        <f t="shared" si="13"/>
        <v>4484</v>
      </c>
      <c r="H16" s="61"/>
      <c r="I16" s="62">
        <v>17410</v>
      </c>
      <c r="J16" s="59">
        <v>1105</v>
      </c>
      <c r="K16" s="69">
        <f>SUM(I16/J16)</f>
        <v>15.755656108597286</v>
      </c>
      <c r="L16" s="59">
        <f>SUM(J16*2)</f>
        <v>2210</v>
      </c>
      <c r="M16" s="8"/>
    </row>
    <row r="17" spans="1:15">
      <c r="A17" s="7">
        <v>13</v>
      </c>
      <c r="B17" s="70" t="s">
        <v>36</v>
      </c>
      <c r="C17" s="71" t="s">
        <v>5</v>
      </c>
      <c r="D17" s="59">
        <v>25810</v>
      </c>
      <c r="E17" s="59">
        <v>2242</v>
      </c>
      <c r="F17" s="60">
        <f t="shared" si="12"/>
        <v>11.512042818911686</v>
      </c>
      <c r="G17" s="59">
        <f t="shared" si="13"/>
        <v>4484</v>
      </c>
      <c r="H17" s="61"/>
      <c r="I17" s="62">
        <v>17210</v>
      </c>
      <c r="J17" s="59">
        <v>1105</v>
      </c>
      <c r="K17" s="69">
        <f>SUM(I17/J17)</f>
        <v>15.574660633484163</v>
      </c>
      <c r="L17" s="59">
        <f>SUM(J17*2)</f>
        <v>2210</v>
      </c>
      <c r="M17" s="8"/>
    </row>
    <row r="18" spans="1:15">
      <c r="A18" s="7">
        <v>14</v>
      </c>
      <c r="B18" s="51" t="s">
        <v>36</v>
      </c>
      <c r="C18" s="52" t="s">
        <v>8</v>
      </c>
      <c r="D18" s="59">
        <v>42990</v>
      </c>
      <c r="E18" s="59">
        <v>3460</v>
      </c>
      <c r="F18" s="60">
        <f t="shared" si="12"/>
        <v>12.424855491329479</v>
      </c>
      <c r="G18" s="59">
        <f t="shared" si="13"/>
        <v>6920</v>
      </c>
      <c r="H18" s="61"/>
      <c r="I18" s="62">
        <v>19590</v>
      </c>
      <c r="J18" s="59">
        <v>1836</v>
      </c>
      <c r="K18" s="47">
        <f>SUM(I18/J18)</f>
        <v>10.669934640522875</v>
      </c>
      <c r="L18" s="84">
        <f>SUM(J18*2)</f>
        <v>3672</v>
      </c>
      <c r="M18" s="8"/>
    </row>
    <row r="19" spans="1:15">
      <c r="A19" s="7">
        <v>15</v>
      </c>
      <c r="B19" s="72" t="s">
        <v>8</v>
      </c>
      <c r="C19" s="73" t="s">
        <v>36</v>
      </c>
      <c r="D19" s="59">
        <v>42990</v>
      </c>
      <c r="E19" s="59">
        <v>3460</v>
      </c>
      <c r="F19" s="60">
        <f t="shared" si="12"/>
        <v>12.424855491329479</v>
      </c>
      <c r="G19" s="59">
        <f t="shared" si="13"/>
        <v>6920</v>
      </c>
      <c r="H19" s="61" t="s">
        <v>37</v>
      </c>
      <c r="I19" s="62">
        <v>15190</v>
      </c>
      <c r="J19" s="59">
        <v>1836</v>
      </c>
      <c r="K19" s="74">
        <f>SUM(I19/J19)</f>
        <v>8.2734204793028319</v>
      </c>
      <c r="L19" s="84">
        <f>SUM(J19*2)</f>
        <v>3672</v>
      </c>
      <c r="M19" s="8"/>
    </row>
    <row r="20" spans="1:15">
      <c r="A20" s="7">
        <v>16</v>
      </c>
      <c r="B20" s="51" t="s">
        <v>36</v>
      </c>
      <c r="C20" s="52" t="s">
        <v>20</v>
      </c>
      <c r="D20" s="59">
        <v>30550</v>
      </c>
      <c r="E20" s="59">
        <v>3001</v>
      </c>
      <c r="F20" s="47">
        <f t="shared" si="12"/>
        <v>10.179940019993335</v>
      </c>
      <c r="G20" s="84">
        <f t="shared" si="13"/>
        <v>6002</v>
      </c>
      <c r="H20" s="61" t="s">
        <v>35</v>
      </c>
      <c r="I20" s="307" t="s">
        <v>41</v>
      </c>
      <c r="J20" s="308"/>
      <c r="K20" s="308"/>
      <c r="L20" s="308"/>
      <c r="M20" s="309"/>
    </row>
    <row r="21" spans="1:15">
      <c r="A21" s="89">
        <v>17</v>
      </c>
      <c r="B21" s="90" t="s">
        <v>20</v>
      </c>
      <c r="C21" s="91" t="s">
        <v>36</v>
      </c>
      <c r="D21" s="92">
        <v>32550</v>
      </c>
      <c r="E21" s="92">
        <v>3001</v>
      </c>
      <c r="F21" s="93">
        <f t="shared" si="12"/>
        <v>10.846384538487172</v>
      </c>
      <c r="G21" s="94">
        <f t="shared" si="13"/>
        <v>6002</v>
      </c>
      <c r="H21" s="102" t="s">
        <v>35</v>
      </c>
      <c r="I21" s="99"/>
      <c r="J21" s="95"/>
      <c r="K21" s="96"/>
      <c r="L21" s="95"/>
      <c r="M21" s="97"/>
    </row>
    <row r="22" spans="1:15">
      <c r="A22" s="7">
        <v>18</v>
      </c>
      <c r="B22" s="70" t="s">
        <v>8</v>
      </c>
      <c r="C22" s="71" t="s">
        <v>20</v>
      </c>
      <c r="D22" s="59">
        <v>42660</v>
      </c>
      <c r="E22" s="59">
        <v>965</v>
      </c>
      <c r="F22" s="69">
        <f t="shared" si="12"/>
        <v>44.207253886010363</v>
      </c>
      <c r="G22" s="59">
        <f t="shared" si="13"/>
        <v>1930</v>
      </c>
      <c r="H22" s="103" t="s">
        <v>24</v>
      </c>
      <c r="I22" s="100">
        <v>14060</v>
      </c>
      <c r="J22" s="59">
        <v>765</v>
      </c>
      <c r="K22" s="69">
        <f>SUM(I22/J22)</f>
        <v>18.37908496732026</v>
      </c>
      <c r="L22" s="59">
        <f>SUM(J22*2)</f>
        <v>1530</v>
      </c>
      <c r="M22" s="8"/>
    </row>
    <row r="23" spans="1:15" ht="19" thickBot="1">
      <c r="A23" s="21">
        <v>19</v>
      </c>
      <c r="B23" s="98" t="s">
        <v>20</v>
      </c>
      <c r="C23" s="86" t="s">
        <v>8</v>
      </c>
      <c r="D23" s="63">
        <v>44760</v>
      </c>
      <c r="E23" s="63">
        <v>965</v>
      </c>
      <c r="F23" s="87">
        <f t="shared" si="12"/>
        <v>46.383419689119172</v>
      </c>
      <c r="G23" s="63">
        <f t="shared" si="13"/>
        <v>1930</v>
      </c>
      <c r="H23" s="104" t="s">
        <v>24</v>
      </c>
      <c r="I23" s="101">
        <v>16060</v>
      </c>
      <c r="J23" s="63">
        <v>765</v>
      </c>
      <c r="K23" s="87">
        <f>SUM(I23/J23)</f>
        <v>20.993464052287582</v>
      </c>
      <c r="L23" s="63">
        <f>SUM(J23*2)</f>
        <v>1530</v>
      </c>
      <c r="M23" s="88"/>
    </row>
    <row r="24" spans="1:15" ht="19" thickBot="1">
      <c r="A24" s="22"/>
      <c r="B24" s="22"/>
      <c r="C24" s="22"/>
      <c r="D24" s="64"/>
      <c r="E24" s="64"/>
      <c r="F24" s="65"/>
      <c r="G24" s="64"/>
      <c r="H24" s="64"/>
      <c r="I24" s="64"/>
      <c r="J24" s="64"/>
      <c r="K24" s="65"/>
      <c r="L24" s="64"/>
      <c r="M24" s="22"/>
    </row>
    <row r="25" spans="1:15" ht="19" thickBot="1">
      <c r="B25" s="35" t="s">
        <v>0</v>
      </c>
      <c r="C25" s="36" t="s">
        <v>28</v>
      </c>
      <c r="D25" s="36" t="s">
        <v>1</v>
      </c>
      <c r="E25" s="36" t="s">
        <v>30</v>
      </c>
      <c r="F25" s="36" t="s">
        <v>2</v>
      </c>
      <c r="G25" s="37" t="s">
        <v>31</v>
      </c>
      <c r="H25" s="4"/>
      <c r="I25" s="283" t="s">
        <v>47</v>
      </c>
      <c r="J25" s="284"/>
      <c r="K25" s="284"/>
      <c r="L25" s="284"/>
      <c r="M25" s="284"/>
      <c r="N25" s="284"/>
      <c r="O25" s="285"/>
    </row>
    <row r="26" spans="1:15">
      <c r="B26" s="30" t="s">
        <v>5</v>
      </c>
      <c r="C26" s="31">
        <v>1.35</v>
      </c>
      <c r="D26" s="31" t="s">
        <v>6</v>
      </c>
      <c r="E26" s="32" t="s">
        <v>9</v>
      </c>
      <c r="F26" s="33">
        <v>20630</v>
      </c>
      <c r="G26" s="34">
        <v>3484</v>
      </c>
      <c r="H26" s="4"/>
      <c r="I26" s="85" t="s">
        <v>42</v>
      </c>
      <c r="J26" s="105">
        <v>0.71527777777777779</v>
      </c>
      <c r="K26" s="105" t="s">
        <v>5</v>
      </c>
      <c r="L26" s="106" t="s">
        <v>28</v>
      </c>
      <c r="M26" s="105">
        <v>0.78819444444444453</v>
      </c>
      <c r="N26" s="107" t="s">
        <v>6</v>
      </c>
      <c r="O26" s="108"/>
    </row>
    <row r="27" spans="1:15">
      <c r="B27" s="25" t="s">
        <v>6</v>
      </c>
      <c r="C27" s="26">
        <v>2.2000000000000002</v>
      </c>
      <c r="D27" s="26" t="s">
        <v>8</v>
      </c>
      <c r="E27" s="27" t="s">
        <v>32</v>
      </c>
      <c r="F27" s="28">
        <v>10410</v>
      </c>
      <c r="G27" s="29">
        <v>2952</v>
      </c>
      <c r="H27" s="4"/>
      <c r="I27" s="112"/>
      <c r="J27" s="113">
        <v>0.86111111111111116</v>
      </c>
      <c r="K27" s="113" t="s">
        <v>6</v>
      </c>
      <c r="L27" s="114" t="s">
        <v>28</v>
      </c>
      <c r="M27" s="113">
        <v>0.95833333333333337</v>
      </c>
      <c r="N27" s="115" t="s">
        <v>8</v>
      </c>
      <c r="O27" s="116" t="s">
        <v>44</v>
      </c>
    </row>
    <row r="28" spans="1:15">
      <c r="B28" s="25" t="s">
        <v>8</v>
      </c>
      <c r="C28" s="26">
        <v>3.1</v>
      </c>
      <c r="D28" s="27" t="s">
        <v>36</v>
      </c>
      <c r="E28" s="27" t="s">
        <v>32</v>
      </c>
      <c r="F28" s="28">
        <v>26190</v>
      </c>
      <c r="G28" s="29">
        <v>3672</v>
      </c>
      <c r="H28" s="4"/>
      <c r="I28" s="122" t="s">
        <v>43</v>
      </c>
      <c r="J28" s="123">
        <v>0.25694444444444448</v>
      </c>
      <c r="K28" s="123" t="s">
        <v>8</v>
      </c>
      <c r="L28" s="124" t="s">
        <v>28</v>
      </c>
      <c r="M28" s="123">
        <v>0.3888888888888889</v>
      </c>
      <c r="N28" s="125" t="s">
        <v>36</v>
      </c>
      <c r="O28" s="126"/>
    </row>
    <row r="29" spans="1:15">
      <c r="B29" s="25" t="s">
        <v>36</v>
      </c>
      <c r="C29" s="26">
        <v>3.1</v>
      </c>
      <c r="D29" s="27" t="s">
        <v>8</v>
      </c>
      <c r="E29" s="27" t="s">
        <v>32</v>
      </c>
      <c r="F29" s="28">
        <v>23290</v>
      </c>
      <c r="G29" s="29">
        <v>3672</v>
      </c>
      <c r="I29" s="11"/>
      <c r="J29" s="109">
        <v>0.64583333333333337</v>
      </c>
      <c r="K29" s="109" t="s">
        <v>36</v>
      </c>
      <c r="L29" s="10" t="s">
        <v>28</v>
      </c>
      <c r="M29" s="109">
        <v>0.76041666666666663</v>
      </c>
      <c r="N29" s="110" t="s">
        <v>8</v>
      </c>
      <c r="O29" s="111"/>
    </row>
    <row r="30" spans="1:15">
      <c r="B30" s="25" t="s">
        <v>8</v>
      </c>
      <c r="C30" s="26">
        <v>2.2000000000000002</v>
      </c>
      <c r="D30" s="27" t="s">
        <v>6</v>
      </c>
      <c r="E30" s="27" t="s">
        <v>32</v>
      </c>
      <c r="F30" s="28">
        <v>13510</v>
      </c>
      <c r="G30" s="29">
        <v>2952</v>
      </c>
      <c r="I30" s="112"/>
      <c r="J30" s="113">
        <v>0.83333333333333337</v>
      </c>
      <c r="K30" s="113" t="s">
        <v>8</v>
      </c>
      <c r="L30" s="114" t="s">
        <v>28</v>
      </c>
      <c r="M30" s="113">
        <v>0.94097222222222221</v>
      </c>
      <c r="N30" s="115" t="s">
        <v>6</v>
      </c>
      <c r="O30" s="116" t="s">
        <v>44</v>
      </c>
    </row>
    <row r="31" spans="1:15" ht="19" thickBot="1">
      <c r="B31" s="75" t="s">
        <v>6</v>
      </c>
      <c r="C31" s="76">
        <v>1.35</v>
      </c>
      <c r="D31" s="77" t="s">
        <v>5</v>
      </c>
      <c r="E31" s="77" t="s">
        <v>9</v>
      </c>
      <c r="F31" s="78">
        <v>20630</v>
      </c>
      <c r="G31" s="79">
        <v>3484</v>
      </c>
      <c r="I31" s="117" t="s">
        <v>45</v>
      </c>
      <c r="J31" s="118">
        <v>0.39583333333333331</v>
      </c>
      <c r="K31" s="118" t="s">
        <v>6</v>
      </c>
      <c r="L31" s="119" t="s">
        <v>28</v>
      </c>
      <c r="M31" s="118">
        <v>0.46875</v>
      </c>
      <c r="N31" s="120" t="s">
        <v>5</v>
      </c>
      <c r="O31" s="121" t="s">
        <v>46</v>
      </c>
    </row>
    <row r="32" spans="1:15" ht="20" thickTop="1" thickBot="1">
      <c r="B32" s="80" t="s">
        <v>29</v>
      </c>
      <c r="C32" s="81">
        <f>SUM(C26:C31)</f>
        <v>13.299999999999999</v>
      </c>
      <c r="D32" s="82" t="s">
        <v>39</v>
      </c>
      <c r="E32" s="43"/>
      <c r="F32" s="44">
        <f>SUM(F26:F31)</f>
        <v>114660</v>
      </c>
      <c r="G32" s="45">
        <f>SUM(G26:G31)</f>
        <v>20216</v>
      </c>
      <c r="I32" s="22"/>
      <c r="J32" s="22"/>
      <c r="K32" s="22"/>
      <c r="L32" s="23"/>
      <c r="M32" s="24"/>
      <c r="N32" s="23"/>
    </row>
    <row r="33" spans="2:14" ht="19" thickBot="1">
      <c r="B33" s="22"/>
      <c r="C33" s="22"/>
      <c r="D33" s="3"/>
      <c r="E33" s="3"/>
      <c r="F33" s="46">
        <f>SUM(F32/G32)</f>
        <v>5.6717451523545703</v>
      </c>
      <c r="G33" s="46" t="s">
        <v>4</v>
      </c>
      <c r="I33" s="22"/>
      <c r="J33" s="22"/>
      <c r="K33" s="22"/>
      <c r="L33" s="22"/>
      <c r="M33" s="22"/>
      <c r="N33" s="22"/>
    </row>
    <row r="34" spans="2:14" ht="19" thickBot="1">
      <c r="B34" s="35" t="s">
        <v>0</v>
      </c>
      <c r="C34" s="36" t="s">
        <v>28</v>
      </c>
      <c r="D34" s="36" t="s">
        <v>1</v>
      </c>
      <c r="E34" s="36" t="s">
        <v>30</v>
      </c>
      <c r="F34" s="36" t="s">
        <v>2</v>
      </c>
      <c r="G34" s="37" t="s">
        <v>31</v>
      </c>
      <c r="I34" s="22"/>
      <c r="J34" s="22"/>
      <c r="K34" s="22"/>
      <c r="L34" s="23"/>
      <c r="M34" s="24"/>
      <c r="N34" s="23"/>
    </row>
    <row r="35" spans="2:14">
      <c r="B35" s="30" t="s">
        <v>5</v>
      </c>
      <c r="C35" s="31">
        <v>1.35</v>
      </c>
      <c r="D35" s="31" t="s">
        <v>6</v>
      </c>
      <c r="E35" s="32" t="s">
        <v>9</v>
      </c>
      <c r="F35" s="33">
        <v>20630</v>
      </c>
      <c r="G35" s="34">
        <v>3484</v>
      </c>
      <c r="I35" s="22"/>
      <c r="J35" s="22"/>
      <c r="K35" s="22"/>
      <c r="L35" s="23"/>
      <c r="M35" s="24"/>
      <c r="N35" s="23"/>
    </row>
    <row r="36" spans="2:14">
      <c r="B36" s="25" t="s">
        <v>6</v>
      </c>
      <c r="C36" s="26">
        <v>2.2000000000000002</v>
      </c>
      <c r="D36" s="26" t="s">
        <v>8</v>
      </c>
      <c r="E36" s="27" t="s">
        <v>32</v>
      </c>
      <c r="F36" s="28">
        <v>10910</v>
      </c>
      <c r="G36" s="29">
        <v>2952</v>
      </c>
      <c r="I36" s="22"/>
      <c r="J36" s="22"/>
      <c r="K36" s="23"/>
      <c r="L36" s="23"/>
      <c r="M36" s="24"/>
      <c r="N36" s="23"/>
    </row>
    <row r="37" spans="2:14">
      <c r="B37" s="25" t="s">
        <v>8</v>
      </c>
      <c r="C37" s="26">
        <v>2.2000000000000002</v>
      </c>
      <c r="D37" s="27" t="s">
        <v>6</v>
      </c>
      <c r="E37" s="27" t="s">
        <v>32</v>
      </c>
      <c r="F37" s="28">
        <v>18610</v>
      </c>
      <c r="G37" s="29">
        <v>2952</v>
      </c>
      <c r="I37" s="22"/>
      <c r="J37" s="22"/>
      <c r="K37" s="23"/>
      <c r="L37" s="23"/>
      <c r="M37" s="24"/>
      <c r="N37" s="23"/>
    </row>
    <row r="38" spans="2:14" ht="19" thickBot="1">
      <c r="B38" s="75" t="s">
        <v>6</v>
      </c>
      <c r="C38" s="76">
        <v>1.35</v>
      </c>
      <c r="D38" s="77" t="s">
        <v>5</v>
      </c>
      <c r="E38" s="77" t="s">
        <v>9</v>
      </c>
      <c r="F38" s="78">
        <v>20630</v>
      </c>
      <c r="G38" s="79">
        <v>3484</v>
      </c>
      <c r="I38" s="22"/>
      <c r="J38" s="22"/>
      <c r="K38" s="22"/>
      <c r="L38" s="23"/>
      <c r="M38" s="24"/>
      <c r="N38" s="23"/>
    </row>
    <row r="39" spans="2:14" ht="20" thickTop="1" thickBot="1">
      <c r="B39" s="80" t="s">
        <v>29</v>
      </c>
      <c r="C39" s="81">
        <f>SUM(C33:C38)</f>
        <v>7.1</v>
      </c>
      <c r="D39" s="82" t="s">
        <v>39</v>
      </c>
      <c r="E39" s="43"/>
      <c r="F39" s="44">
        <f>SUM(F33:F38)</f>
        <v>70785.671745152358</v>
      </c>
      <c r="G39" s="45">
        <f>SUM(G33:G38)</f>
        <v>12872</v>
      </c>
      <c r="I39" s="22"/>
      <c r="J39" s="22"/>
      <c r="K39" s="23"/>
      <c r="L39" s="23"/>
      <c r="M39" s="83"/>
      <c r="N39" s="83"/>
    </row>
    <row r="40" spans="2:14" ht="19" thickBot="1">
      <c r="B40" s="22"/>
      <c r="C40" s="22"/>
      <c r="D40" s="3"/>
      <c r="E40" s="3"/>
      <c r="F40" s="46">
        <f>SUM(F39/G39)</f>
        <v>5.4991976184860443</v>
      </c>
      <c r="G40" s="46" t="s">
        <v>4</v>
      </c>
    </row>
    <row r="41" spans="2:14" ht="19" thickBot="1">
      <c r="B41" s="35" t="s">
        <v>0</v>
      </c>
      <c r="C41" s="36" t="s">
        <v>28</v>
      </c>
      <c r="D41" s="36" t="s">
        <v>1</v>
      </c>
      <c r="E41" s="36" t="s">
        <v>30</v>
      </c>
      <c r="F41" s="36" t="s">
        <v>2</v>
      </c>
      <c r="G41" s="37" t="s">
        <v>31</v>
      </c>
    </row>
    <row r="42" spans="2:14">
      <c r="B42" s="30" t="s">
        <v>5</v>
      </c>
      <c r="C42" s="31">
        <v>1.35</v>
      </c>
      <c r="D42" s="31" t="s">
        <v>6</v>
      </c>
      <c r="E42" s="32" t="s">
        <v>9</v>
      </c>
      <c r="F42" s="33">
        <v>20630</v>
      </c>
      <c r="G42" s="34">
        <v>3484</v>
      </c>
    </row>
    <row r="43" spans="2:14">
      <c r="B43" s="25" t="s">
        <v>6</v>
      </c>
      <c r="C43" s="26">
        <v>3.15</v>
      </c>
      <c r="D43" s="26" t="s">
        <v>20</v>
      </c>
      <c r="E43" s="27" t="s">
        <v>32</v>
      </c>
      <c r="F43" s="28">
        <v>22990</v>
      </c>
      <c r="G43" s="29">
        <v>4190</v>
      </c>
    </row>
    <row r="44" spans="2:14">
      <c r="B44" s="25" t="s">
        <v>20</v>
      </c>
      <c r="C44" s="26">
        <v>3.15</v>
      </c>
      <c r="D44" s="27" t="s">
        <v>6</v>
      </c>
      <c r="E44" s="27" t="s">
        <v>9</v>
      </c>
      <c r="F44" s="28">
        <v>40990</v>
      </c>
      <c r="G44" s="29">
        <v>3892</v>
      </c>
    </row>
    <row r="45" spans="2:14" ht="19" thickBot="1">
      <c r="B45" s="75" t="s">
        <v>6</v>
      </c>
      <c r="C45" s="76">
        <v>1.35</v>
      </c>
      <c r="D45" s="77" t="s">
        <v>5</v>
      </c>
      <c r="E45" s="77" t="s">
        <v>9</v>
      </c>
      <c r="F45" s="78">
        <v>20630</v>
      </c>
      <c r="G45" s="79">
        <v>3484</v>
      </c>
    </row>
    <row r="46" spans="2:14" ht="20" thickTop="1" thickBot="1">
      <c r="B46" s="80" t="s">
        <v>29</v>
      </c>
      <c r="C46" s="81">
        <f>SUM(C40:C45)</f>
        <v>9</v>
      </c>
      <c r="D46" s="82" t="s">
        <v>39</v>
      </c>
      <c r="E46" s="43"/>
      <c r="F46" s="44">
        <f>SUM(F40:F45)</f>
        <v>105245.49919761848</v>
      </c>
      <c r="G46" s="45">
        <f>SUM(G40:G45)</f>
        <v>15050</v>
      </c>
    </row>
    <row r="47" spans="2:14">
      <c r="B47" s="22"/>
      <c r="C47" s="22"/>
      <c r="D47" s="3"/>
      <c r="E47" s="3"/>
      <c r="F47" s="46">
        <f>SUM(F46/G46)</f>
        <v>6.9930564250909288</v>
      </c>
      <c r="G47" s="46" t="s">
        <v>4</v>
      </c>
    </row>
    <row r="48" spans="2:14" ht="19" thickBot="1"/>
    <row r="49" spans="2:7" ht="19" thickBot="1">
      <c r="B49" s="35" t="s">
        <v>0</v>
      </c>
      <c r="C49" s="36" t="s">
        <v>28</v>
      </c>
      <c r="D49" s="36" t="s">
        <v>1</v>
      </c>
      <c r="E49" s="36" t="s">
        <v>30</v>
      </c>
      <c r="F49" s="36" t="s">
        <v>2</v>
      </c>
      <c r="G49" s="37" t="s">
        <v>31</v>
      </c>
    </row>
    <row r="50" spans="2:7">
      <c r="B50" s="30" t="s">
        <v>5</v>
      </c>
      <c r="C50" s="31">
        <v>1.35</v>
      </c>
      <c r="D50" s="31" t="s">
        <v>6</v>
      </c>
      <c r="E50" s="32" t="s">
        <v>9</v>
      </c>
      <c r="F50" s="33">
        <v>20630</v>
      </c>
      <c r="G50" s="34">
        <v>3484</v>
      </c>
    </row>
    <row r="51" spans="2:7">
      <c r="B51" s="25" t="s">
        <v>6</v>
      </c>
      <c r="C51" s="26">
        <v>2.2000000000000002</v>
      </c>
      <c r="D51" s="26" t="s">
        <v>8</v>
      </c>
      <c r="E51" s="27" t="s">
        <v>32</v>
      </c>
      <c r="F51" s="28">
        <v>10910</v>
      </c>
      <c r="G51" s="29">
        <v>2952</v>
      </c>
    </row>
    <row r="52" spans="2:7">
      <c r="B52" s="25" t="s">
        <v>8</v>
      </c>
      <c r="C52" s="26">
        <v>1.35</v>
      </c>
      <c r="D52" s="27" t="s">
        <v>20</v>
      </c>
      <c r="E52" s="27" t="s">
        <v>32</v>
      </c>
      <c r="F52" s="28">
        <v>14060</v>
      </c>
      <c r="G52" s="29">
        <v>1530</v>
      </c>
    </row>
    <row r="53" spans="2:7">
      <c r="B53" s="38" t="s">
        <v>20</v>
      </c>
      <c r="C53" s="39">
        <v>6</v>
      </c>
      <c r="D53" s="40" t="s">
        <v>36</v>
      </c>
      <c r="E53" s="40" t="s">
        <v>9</v>
      </c>
      <c r="F53" s="41">
        <v>32550</v>
      </c>
      <c r="G53" s="42">
        <v>6002</v>
      </c>
    </row>
    <row r="54" spans="2:7">
      <c r="B54" s="25" t="s">
        <v>36</v>
      </c>
      <c r="C54" s="26">
        <v>3.1</v>
      </c>
      <c r="D54" s="27" t="s">
        <v>8</v>
      </c>
      <c r="E54" s="27" t="s">
        <v>32</v>
      </c>
      <c r="F54" s="28">
        <v>19590</v>
      </c>
      <c r="G54" s="29">
        <v>3672</v>
      </c>
    </row>
    <row r="55" spans="2:7">
      <c r="B55" s="25" t="s">
        <v>8</v>
      </c>
      <c r="C55" s="26">
        <v>2.2000000000000002</v>
      </c>
      <c r="D55" s="27" t="s">
        <v>6</v>
      </c>
      <c r="E55" s="27" t="s">
        <v>32</v>
      </c>
      <c r="F55" s="28">
        <v>18610</v>
      </c>
      <c r="G55" s="29">
        <v>2952</v>
      </c>
    </row>
    <row r="56" spans="2:7" ht="19" thickBot="1">
      <c r="B56" s="75" t="s">
        <v>6</v>
      </c>
      <c r="C56" s="76">
        <v>1.35</v>
      </c>
      <c r="D56" s="77" t="s">
        <v>5</v>
      </c>
      <c r="E56" s="77" t="s">
        <v>9</v>
      </c>
      <c r="F56" s="78">
        <v>20630</v>
      </c>
      <c r="G56" s="79">
        <v>3484</v>
      </c>
    </row>
    <row r="57" spans="2:7" ht="20" thickTop="1" thickBot="1">
      <c r="B57" s="80" t="s">
        <v>29</v>
      </c>
      <c r="C57" s="81">
        <f>SUM(C48:C56)</f>
        <v>17.55</v>
      </c>
      <c r="D57" s="82" t="s">
        <v>39</v>
      </c>
      <c r="E57" s="43"/>
      <c r="F57" s="44">
        <f>SUM(F48:F56)</f>
        <v>136980</v>
      </c>
      <c r="G57" s="45">
        <f>SUM(G48:G56)</f>
        <v>24076</v>
      </c>
    </row>
    <row r="58" spans="2:7">
      <c r="B58" s="22"/>
      <c r="C58" s="22"/>
      <c r="D58" s="3"/>
      <c r="E58" s="3"/>
      <c r="F58" s="46">
        <f>SUM(F57/G57)</f>
        <v>5.6894833028742315</v>
      </c>
      <c r="G58" s="46" t="s">
        <v>4</v>
      </c>
    </row>
  </sheetData>
  <mergeCells count="5">
    <mergeCell ref="I25:O25"/>
    <mergeCell ref="D3:G3"/>
    <mergeCell ref="I3:L3"/>
    <mergeCell ref="A3:C3"/>
    <mergeCell ref="I20:M20"/>
  </mergeCells>
  <phoneticPr fontId="2"/>
  <pageMargins left="0.70866141732283472" right="0.70866141732283472" top="0.74803149606299213" bottom="0.74803149606299213" header="0.31496062992125984" footer="0.31496062992125984"/>
  <pageSetup paperSize="8" scale="6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46F5-D18B-4622-8BDF-2DB75D247B62}">
  <dimension ref="A2:M10"/>
  <sheetViews>
    <sheetView view="pageBreakPreview" zoomScale="130" zoomScaleNormal="100" zoomScaleSheetLayoutView="130" workbookViewId="0">
      <selection activeCell="K13" sqref="K13"/>
    </sheetView>
  </sheetViews>
  <sheetFormatPr baseColWidth="10" defaultColWidth="8.83203125" defaultRowHeight="18"/>
  <cols>
    <col min="1" max="1" width="7" bestFit="1" customWidth="1"/>
    <col min="2" max="2" width="5.5" bestFit="1" customWidth="1"/>
    <col min="3" max="3" width="7" bestFit="1" customWidth="1"/>
    <col min="5" max="5" width="8.5" bestFit="1" customWidth="1"/>
    <col min="6" max="6" width="10.5" bestFit="1" customWidth="1"/>
    <col min="7" max="7" width="8.1640625" bestFit="1" customWidth="1"/>
    <col min="8" max="8" width="6" bestFit="1" customWidth="1"/>
    <col min="9" max="9" width="5.1640625" bestFit="1" customWidth="1"/>
    <col min="10" max="10" width="3.33203125" bestFit="1" customWidth="1"/>
    <col min="11" max="11" width="6" bestFit="1" customWidth="1"/>
    <col min="12" max="13" width="5.1640625" bestFit="1" customWidth="1"/>
  </cols>
  <sheetData>
    <row r="2" spans="1:13" ht="19" thickBot="1">
      <c r="A2" t="s">
        <v>48</v>
      </c>
    </row>
    <row r="3" spans="1:13" ht="19" thickBot="1">
      <c r="A3" s="35" t="s">
        <v>0</v>
      </c>
      <c r="B3" s="36" t="s">
        <v>28</v>
      </c>
      <c r="C3" s="36" t="s">
        <v>1</v>
      </c>
      <c r="D3" s="36" t="s">
        <v>30</v>
      </c>
      <c r="E3" s="36" t="s">
        <v>2</v>
      </c>
      <c r="F3" s="37" t="s">
        <v>31</v>
      </c>
      <c r="G3" s="283" t="s">
        <v>47</v>
      </c>
      <c r="H3" s="284"/>
      <c r="I3" s="284"/>
      <c r="J3" s="284"/>
      <c r="K3" s="284"/>
      <c r="L3" s="284"/>
      <c r="M3" s="285"/>
    </row>
    <row r="4" spans="1:13">
      <c r="A4" s="30" t="s">
        <v>5</v>
      </c>
      <c r="B4" s="31">
        <v>1.35</v>
      </c>
      <c r="C4" s="31" t="s">
        <v>6</v>
      </c>
      <c r="D4" s="32" t="s">
        <v>9</v>
      </c>
      <c r="E4" s="33">
        <v>20630</v>
      </c>
      <c r="F4" s="34">
        <v>3484</v>
      </c>
      <c r="G4" s="127">
        <v>43966</v>
      </c>
      <c r="H4" s="105">
        <v>0.71527777777777779</v>
      </c>
      <c r="I4" s="105" t="s">
        <v>5</v>
      </c>
      <c r="J4" s="106" t="s">
        <v>28</v>
      </c>
      <c r="K4" s="105">
        <v>0.78819444444444453</v>
      </c>
      <c r="L4" s="107" t="s">
        <v>6</v>
      </c>
      <c r="M4" s="108"/>
    </row>
    <row r="5" spans="1:13">
      <c r="A5" s="25" t="s">
        <v>6</v>
      </c>
      <c r="B5" s="26">
        <v>2.2000000000000002</v>
      </c>
      <c r="C5" s="26" t="s">
        <v>8</v>
      </c>
      <c r="D5" s="27" t="s">
        <v>32</v>
      </c>
      <c r="E5" s="28">
        <v>10410</v>
      </c>
      <c r="F5" s="29">
        <v>2952</v>
      </c>
      <c r="G5" s="112"/>
      <c r="H5" s="113">
        <v>0.86111111111111116</v>
      </c>
      <c r="I5" s="113" t="s">
        <v>6</v>
      </c>
      <c r="J5" s="114" t="s">
        <v>28</v>
      </c>
      <c r="K5" s="113">
        <v>0.95833333333333337</v>
      </c>
      <c r="L5" s="115" t="s">
        <v>8</v>
      </c>
      <c r="M5" s="116" t="s">
        <v>44</v>
      </c>
    </row>
    <row r="6" spans="1:13">
      <c r="A6" s="25" t="s">
        <v>8</v>
      </c>
      <c r="B6" s="26">
        <v>3.1</v>
      </c>
      <c r="C6" s="27" t="s">
        <v>36</v>
      </c>
      <c r="D6" s="27" t="s">
        <v>32</v>
      </c>
      <c r="E6" s="28">
        <v>26190</v>
      </c>
      <c r="F6" s="29">
        <v>3672</v>
      </c>
      <c r="G6" s="128">
        <v>43967</v>
      </c>
      <c r="H6" s="123">
        <v>0.25694444444444448</v>
      </c>
      <c r="I6" s="123" t="s">
        <v>8</v>
      </c>
      <c r="J6" s="124" t="s">
        <v>28</v>
      </c>
      <c r="K6" s="123">
        <v>0.3888888888888889</v>
      </c>
      <c r="L6" s="125" t="s">
        <v>36</v>
      </c>
      <c r="M6" s="126"/>
    </row>
    <row r="7" spans="1:13">
      <c r="A7" s="25" t="s">
        <v>36</v>
      </c>
      <c r="B7" s="26">
        <v>3.1</v>
      </c>
      <c r="C7" s="27" t="s">
        <v>8</v>
      </c>
      <c r="D7" s="27" t="s">
        <v>32</v>
      </c>
      <c r="E7" s="28">
        <v>23290</v>
      </c>
      <c r="F7" s="29">
        <v>3672</v>
      </c>
      <c r="G7" s="11"/>
      <c r="H7" s="109">
        <v>0.64583333333333337</v>
      </c>
      <c r="I7" s="109" t="s">
        <v>36</v>
      </c>
      <c r="J7" s="10" t="s">
        <v>28</v>
      </c>
      <c r="K7" s="109">
        <v>0.76041666666666663</v>
      </c>
      <c r="L7" s="110" t="s">
        <v>8</v>
      </c>
      <c r="M7" s="111"/>
    </row>
    <row r="8" spans="1:13">
      <c r="A8" s="25" t="s">
        <v>8</v>
      </c>
      <c r="B8" s="26">
        <v>2.2000000000000002</v>
      </c>
      <c r="C8" s="27" t="s">
        <v>6</v>
      </c>
      <c r="D8" s="27" t="s">
        <v>32</v>
      </c>
      <c r="E8" s="28">
        <v>13510</v>
      </c>
      <c r="F8" s="29">
        <v>2952</v>
      </c>
      <c r="G8" s="112"/>
      <c r="H8" s="113">
        <v>0.83333333333333337</v>
      </c>
      <c r="I8" s="113" t="s">
        <v>8</v>
      </c>
      <c r="J8" s="114" t="s">
        <v>28</v>
      </c>
      <c r="K8" s="113">
        <v>0.94097222222222221</v>
      </c>
      <c r="L8" s="115" t="s">
        <v>6</v>
      </c>
      <c r="M8" s="116" t="s">
        <v>44</v>
      </c>
    </row>
    <row r="9" spans="1:13" ht="19" thickBot="1">
      <c r="A9" s="75" t="s">
        <v>6</v>
      </c>
      <c r="B9" s="76">
        <v>1.35</v>
      </c>
      <c r="C9" s="77" t="s">
        <v>5</v>
      </c>
      <c r="D9" s="77" t="s">
        <v>9</v>
      </c>
      <c r="E9" s="78">
        <v>20630</v>
      </c>
      <c r="F9" s="79">
        <v>3484</v>
      </c>
      <c r="G9" s="129">
        <v>43968</v>
      </c>
      <c r="H9" s="118">
        <v>0.39583333333333331</v>
      </c>
      <c r="I9" s="118" t="s">
        <v>6</v>
      </c>
      <c r="J9" s="119" t="s">
        <v>28</v>
      </c>
      <c r="K9" s="118">
        <v>0.46875</v>
      </c>
      <c r="L9" s="120" t="s">
        <v>5</v>
      </c>
      <c r="M9" s="121" t="s">
        <v>46</v>
      </c>
    </row>
    <row r="10" spans="1:13" ht="20" thickTop="1" thickBot="1">
      <c r="A10" s="80" t="s">
        <v>29</v>
      </c>
      <c r="B10" s="81">
        <f>SUM(B4:B9)</f>
        <v>13.299999999999999</v>
      </c>
      <c r="C10" s="82" t="s">
        <v>39</v>
      </c>
      <c r="D10" s="43"/>
      <c r="E10" s="44">
        <f>SUM(E4:E9)</f>
        <v>114660</v>
      </c>
      <c r="F10" s="45">
        <f>SUM(F4:F9)</f>
        <v>20216</v>
      </c>
      <c r="G10" s="22"/>
      <c r="H10" s="22"/>
      <c r="I10" s="22"/>
      <c r="J10" s="23"/>
      <c r="K10" s="24"/>
      <c r="L10" s="23"/>
    </row>
  </sheetData>
  <mergeCells count="1">
    <mergeCell ref="G3:M3"/>
  </mergeCells>
  <phoneticPr fontId="2"/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2021年修行状況</vt:lpstr>
      <vt:lpstr>Sheet1</vt:lpstr>
      <vt:lpstr>2021年</vt:lpstr>
      <vt:lpstr>参考データ</vt:lpstr>
      <vt:lpstr>渡航歴</vt:lpstr>
      <vt:lpstr>'2021年修行状況'!Print_Area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圭一 太田</cp:lastModifiedBy>
  <cp:lastPrinted>2021-05-10T22:46:18Z</cp:lastPrinted>
  <dcterms:created xsi:type="dcterms:W3CDTF">2020-03-26T06:47:05Z</dcterms:created>
  <dcterms:modified xsi:type="dcterms:W3CDTF">2025-11-23T22:51:14Z</dcterms:modified>
</cp:coreProperties>
</file>