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４．賃貸運営/"/>
    </mc:Choice>
  </mc:AlternateContent>
  <xr:revisionPtr revIDLastSave="0" documentId="8_{BA71EFBC-8B35-964B-BAB2-EDB61455B1E6}" xr6:coauthVersionLast="47" xr6:coauthVersionMax="47" xr10:uidLastSave="{00000000-0000-0000-0000-000000000000}"/>
  <bookViews>
    <workbookView xWindow="3040" yWindow="2040" windowWidth="27900" windowHeight="16860" xr2:uid="{423DD7C5-CD81-1749-91AB-1CE8FA49899C}"/>
  </bookViews>
  <sheets>
    <sheet name="太田塾" sheetId="1" r:id="rId1"/>
  </sheets>
  <definedNames>
    <definedName name="_xlnm._FilterDatabase" localSheetId="0" hidden="1">太田塾!$A$3:$R$9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P9" i="1"/>
  <c r="Q12" i="1" s="1"/>
  <c r="O9" i="1"/>
  <c r="N9" i="1"/>
  <c r="Q11" i="1" s="1"/>
  <c r="K9" i="1"/>
  <c r="I9" i="1"/>
  <c r="R8" i="1"/>
  <c r="R7" i="1"/>
  <c r="R6" i="1"/>
  <c r="E6" i="1"/>
  <c r="R5" i="1"/>
  <c r="E5" i="1"/>
  <c r="R4" i="1"/>
  <c r="Q13" i="1" s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Q4" authorId="0" shapeId="0" xr:uid="{B614D042-0C34-8E4B-B4DF-54E549464091}">
      <text>
        <r>
          <rPr>
            <b/>
            <sz val="10"/>
            <color rgb="FF000000"/>
            <rFont val="Yu Gothic UI"/>
          </rPr>
          <t>家電３点費用</t>
        </r>
      </text>
    </comment>
  </commentList>
</comments>
</file>

<file path=xl/sharedStrings.xml><?xml version="1.0" encoding="utf-8"?>
<sst xmlns="http://schemas.openxmlformats.org/spreadsheetml/2006/main" count="36" uniqueCount="34">
  <si>
    <t>２０２６年　入退去状況一覧表</t>
    <rPh sb="4" eb="5">
      <t xml:space="preserve">ネン </t>
    </rPh>
    <rPh sb="6" eb="9">
      <t xml:space="preserve">ニュウタイキョ </t>
    </rPh>
    <rPh sb="9" eb="14">
      <t xml:space="preserve">ジョウキョウイチランヒョウ </t>
    </rPh>
    <phoneticPr fontId="4"/>
  </si>
  <si>
    <t>申込中</t>
    <rPh sb="0" eb="3">
      <t xml:space="preserve">モウシコミチュウ </t>
    </rPh>
    <phoneticPr fontId="4"/>
  </si>
  <si>
    <t>契約済</t>
    <rPh sb="0" eb="3">
      <t xml:space="preserve">ケイヤクズミ </t>
    </rPh>
    <phoneticPr fontId="4"/>
  </si>
  <si>
    <t>物件名</t>
    <rPh sb="0" eb="3">
      <t xml:space="preserve">ブッケンメイ </t>
    </rPh>
    <phoneticPr fontId="4"/>
  </si>
  <si>
    <t>号室</t>
    <rPh sb="0" eb="2">
      <t xml:space="preserve">ゴウシツ </t>
    </rPh>
    <phoneticPr fontId="4"/>
  </si>
  <si>
    <t>退去日</t>
    <rPh sb="0" eb="3">
      <t xml:space="preserve">タイキョビ </t>
    </rPh>
    <phoneticPr fontId="4"/>
  </si>
  <si>
    <t>空室期間</t>
    <rPh sb="0" eb="2">
      <t xml:space="preserve">クウシツキカン </t>
    </rPh>
    <rPh sb="2" eb="4">
      <t xml:space="preserve">キカン </t>
    </rPh>
    <phoneticPr fontId="4"/>
  </si>
  <si>
    <t>管理会社</t>
    <rPh sb="0" eb="4">
      <t xml:space="preserve">カンリカイシャ </t>
    </rPh>
    <phoneticPr fontId="4"/>
  </si>
  <si>
    <t>鍵所在</t>
    <rPh sb="0" eb="1">
      <t xml:space="preserve">カギ </t>
    </rPh>
    <rPh sb="1" eb="3">
      <t xml:space="preserve">ショザイ </t>
    </rPh>
    <phoneticPr fontId="4"/>
  </si>
  <si>
    <t>内装状況</t>
    <rPh sb="0" eb="4">
      <t xml:space="preserve">ナイソウジョウキョウ </t>
    </rPh>
    <phoneticPr fontId="4"/>
  </si>
  <si>
    <t>工事費</t>
    <rPh sb="0" eb="3">
      <t xml:space="preserve">コウジヒ </t>
    </rPh>
    <phoneticPr fontId="4"/>
  </si>
  <si>
    <t>業者へ支払い</t>
    <rPh sb="0" eb="2">
      <t xml:space="preserve">ギョウシャ </t>
    </rPh>
    <rPh sb="3" eb="5">
      <t xml:space="preserve">シハライ </t>
    </rPh>
    <phoneticPr fontId="4"/>
  </si>
  <si>
    <t>違約金・清掃代・過失</t>
    <rPh sb="0" eb="3">
      <t xml:space="preserve">イヤクキン </t>
    </rPh>
    <rPh sb="4" eb="7">
      <t xml:space="preserve">セイソウダイ </t>
    </rPh>
    <rPh sb="8" eb="10">
      <t xml:space="preserve">カシツ </t>
    </rPh>
    <phoneticPr fontId="4"/>
  </si>
  <si>
    <t>契約日</t>
    <rPh sb="0" eb="3">
      <t xml:space="preserve">ケイヤクビ </t>
    </rPh>
    <phoneticPr fontId="4"/>
  </si>
  <si>
    <t>賃料発生</t>
    <rPh sb="0" eb="4">
      <t xml:space="preserve">チンリョウハッセイ </t>
    </rPh>
    <phoneticPr fontId="4"/>
  </si>
  <si>
    <t>礼金</t>
    <rPh sb="0" eb="2">
      <t xml:space="preserve">レイキン </t>
    </rPh>
    <phoneticPr fontId="4"/>
  </si>
  <si>
    <t>小短保険</t>
    <rPh sb="0" eb="1">
      <t xml:space="preserve">ショウガク </t>
    </rPh>
    <rPh sb="1" eb="2">
      <t xml:space="preserve">タンキ </t>
    </rPh>
    <rPh sb="2" eb="4">
      <t xml:space="preserve">ホケン </t>
    </rPh>
    <phoneticPr fontId="4"/>
  </si>
  <si>
    <t>広告料</t>
    <rPh sb="0" eb="3">
      <t xml:space="preserve">コウコクリョウ </t>
    </rPh>
    <phoneticPr fontId="4"/>
  </si>
  <si>
    <t>その他経費</t>
    <rPh sb="3" eb="5">
      <t xml:space="preserve">ケイヒ </t>
    </rPh>
    <phoneticPr fontId="4"/>
  </si>
  <si>
    <t>収支</t>
    <rPh sb="0" eb="2">
      <t xml:space="preserve">シュウシ </t>
    </rPh>
    <phoneticPr fontId="4"/>
  </si>
  <si>
    <t>○○アパート</t>
    <phoneticPr fontId="4"/>
  </si>
  <si>
    <t>○○不動産</t>
    <rPh sb="2" eb="5">
      <t xml:space="preserve">フドウサン </t>
    </rPh>
    <phoneticPr fontId="4"/>
  </si>
  <si>
    <t>KEYBOX○○○○</t>
    <phoneticPr fontId="4"/>
  </si>
  <si>
    <t>内装中</t>
    <rPh sb="0" eb="3">
      <t xml:space="preserve">ナイソウチュウ </t>
    </rPh>
    <phoneticPr fontId="4"/>
  </si>
  <si>
    <t>済</t>
    <rPh sb="0" eb="1">
      <t xml:space="preserve">ズミ </t>
    </rPh>
    <phoneticPr fontId="4"/>
  </si>
  <si>
    <t>○○マンション</t>
    <phoneticPr fontId="4"/>
  </si>
  <si>
    <t>○○不動産</t>
    <rPh sb="1" eb="2">
      <t>○</t>
    </rPh>
    <rPh sb="2" eb="3">
      <t xml:space="preserve">フドウサン </t>
    </rPh>
    <phoneticPr fontId="4"/>
  </si>
  <si>
    <t>水道メーター</t>
    <rPh sb="0" eb="2">
      <t xml:space="preserve">スイドウ </t>
    </rPh>
    <phoneticPr fontId="4"/>
  </si>
  <si>
    <t>○○コーポ</t>
    <phoneticPr fontId="4"/>
  </si>
  <si>
    <t>ダイヤル錠○○○○</t>
    <phoneticPr fontId="4"/>
  </si>
  <si>
    <t>退去予定</t>
    <rPh sb="0" eb="4">
      <t xml:space="preserve">タイキョヨテイ </t>
    </rPh>
    <phoneticPr fontId="4"/>
  </si>
  <si>
    <t>収入合計</t>
    <rPh sb="0" eb="4">
      <t xml:space="preserve">シュウニュウゴウケイ </t>
    </rPh>
    <phoneticPr fontId="4"/>
  </si>
  <si>
    <t>支出合計</t>
    <rPh sb="0" eb="2">
      <t xml:space="preserve">シシュツ </t>
    </rPh>
    <rPh sb="2" eb="4">
      <t xml:space="preserve">ゴウケイ </t>
    </rPh>
    <phoneticPr fontId="4"/>
  </si>
  <si>
    <t>収支</t>
    <rPh sb="0" eb="1">
      <t xml:space="preserve">シュウシ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</si>
</sst>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]ggge&quot;年&quot;m&quot;月&quot;d&quot;日&quot;;@" x16r2:formatCode16="[$-ja-JP-x-gannen]ggge&quot;年&quot;m&quot;月&quot;d&quot;日&quot;;@"/>
    <numFmt numFmtId="177" formatCode="m&quot;月&quot;d&quot;日&quot;;@"/>
    <numFmt numFmtId="178" formatCode="#,##0_ "/>
    <numFmt numFmtId="179" formatCode="#,##0_ ;[Red]\-#,##0\ "/>
  </numFmts>
  <fonts count="1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0"/>
      <color rgb="FF000000"/>
      <name val="Yu Gothic UI"/>
    </font>
    <font>
      <sz val="16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ＭＳ Ｐゴシック"/>
      <family val="2"/>
      <charset val="128"/>
    </font>
    <font>
      <sz val="12"/>
      <name val="Meiryo UI"/>
      <family val="2"/>
      <charset val="128"/>
    </font>
    <font>
      <sz val="12"/>
      <color rgb="FFFF0000"/>
      <name val="ＭＳ Ｐゴシック"/>
      <family val="2"/>
      <charset val="128"/>
    </font>
    <font>
      <sz val="12"/>
      <color theme="4"/>
      <name val="ＭＳ Ｐゴシック"/>
      <family val="2"/>
      <charset val="128"/>
    </font>
    <font>
      <b/>
      <sz val="12"/>
      <color theme="1"/>
      <name val="游ゴシック"/>
      <family val="3"/>
      <charset val="128"/>
      <scheme val="minor"/>
    </font>
    <font>
      <sz val="20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8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38" fontId="5" fillId="0" borderId="8" xfId="1" applyFont="1" applyFill="1" applyBorder="1" applyAlignment="1">
      <alignment horizontal="center" vertical="center"/>
    </xf>
    <xf numFmtId="56" fontId="5" fillId="0" borderId="6" xfId="0" applyNumberFormat="1" applyFont="1" applyBorder="1" applyAlignment="1">
      <alignment horizontal="center" vertical="center"/>
    </xf>
    <xf numFmtId="56" fontId="5" fillId="0" borderId="6" xfId="1" applyNumberFormat="1" applyFont="1" applyFill="1" applyBorder="1" applyAlignment="1">
      <alignment horizontal="center" vertical="center"/>
    </xf>
    <xf numFmtId="38" fontId="5" fillId="0" borderId="6" xfId="1" applyFont="1" applyFill="1" applyBorder="1" applyAlignment="1">
      <alignment horizontal="center" vertical="center"/>
    </xf>
    <xf numFmtId="38" fontId="5" fillId="0" borderId="9" xfId="1" applyFont="1" applyFill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38" fontId="5" fillId="0" borderId="11" xfId="1" applyFont="1" applyFill="1" applyBorder="1" applyAlignment="1">
      <alignment horizontal="center" vertical="center"/>
    </xf>
    <xf numFmtId="56" fontId="5" fillId="0" borderId="7" xfId="0" applyNumberFormat="1" applyFont="1" applyBorder="1" applyAlignment="1">
      <alignment horizontal="center" vertical="center"/>
    </xf>
    <xf numFmtId="56" fontId="5" fillId="0" borderId="7" xfId="1" applyNumberFormat="1" applyFont="1" applyFill="1" applyBorder="1" applyAlignment="1">
      <alignment horizontal="center" vertical="center"/>
    </xf>
    <xf numFmtId="38" fontId="5" fillId="0" borderId="7" xfId="1" applyFont="1" applyFill="1" applyBorder="1" applyAlignment="1">
      <alignment horizontal="center" vertical="center"/>
    </xf>
    <xf numFmtId="38" fontId="5" fillId="0" borderId="12" xfId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/>
    </xf>
    <xf numFmtId="38" fontId="5" fillId="0" borderId="15" xfId="1" applyFont="1" applyFill="1" applyBorder="1" applyAlignment="1">
      <alignment horizontal="center" vertical="center"/>
    </xf>
    <xf numFmtId="56" fontId="5" fillId="0" borderId="14" xfId="0" applyNumberFormat="1" applyFont="1" applyBorder="1" applyAlignment="1">
      <alignment horizontal="center" vertical="center"/>
    </xf>
    <xf numFmtId="56" fontId="5" fillId="0" borderId="14" xfId="1" applyNumberFormat="1" applyFont="1" applyFill="1" applyBorder="1" applyAlignment="1">
      <alignment horizontal="center" vertical="center"/>
    </xf>
    <xf numFmtId="38" fontId="5" fillId="0" borderId="14" xfId="1" applyFont="1" applyFill="1" applyBorder="1" applyAlignment="1">
      <alignment horizontal="center" vertical="center"/>
    </xf>
    <xf numFmtId="38" fontId="5" fillId="0" borderId="16" xfId="1" applyFont="1" applyFill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179" fontId="8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9" fontId="7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5A2C-E505-E54A-95EE-519EA4D7A5A8}">
  <sheetPr>
    <pageSetUpPr fitToPage="1"/>
  </sheetPr>
  <dimension ref="A1:R13"/>
  <sheetViews>
    <sheetView tabSelected="1" view="pageBreakPreview" zoomScale="109" zoomScaleNormal="10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Q14" sqref="Q14"/>
    </sheetView>
  </sheetViews>
  <sheetFormatPr baseColWidth="10" defaultRowHeight="20"/>
  <cols>
    <col min="1" max="1" width="3" style="2" customWidth="1"/>
    <col min="2" max="2" width="22" style="2" customWidth="1"/>
    <col min="3" max="3" width="5.140625" style="2" bestFit="1" customWidth="1"/>
    <col min="4" max="6" width="10.7109375" style="2"/>
    <col min="7" max="7" width="15.7109375" style="2" bestFit="1" customWidth="1"/>
    <col min="8" max="9" width="10.7109375" style="2"/>
    <col min="10" max="10" width="12.28515625" style="2" customWidth="1"/>
    <col min="11" max="11" width="21.85546875" style="2" bestFit="1" customWidth="1"/>
    <col min="12" max="16" width="10.7109375" style="3"/>
    <col min="17" max="17" width="14.7109375" style="3" bestFit="1" customWidth="1"/>
  </cols>
  <sheetData>
    <row r="1" spans="1:18">
      <c r="A1" s="1" t="s">
        <v>0</v>
      </c>
    </row>
    <row r="2" spans="1:18" s="3" customFormat="1" ht="16" thickBot="1">
      <c r="A2" s="4"/>
      <c r="B2" s="4"/>
      <c r="C2" s="2"/>
      <c r="D2" s="5" t="s">
        <v>1</v>
      </c>
      <c r="E2" s="6" t="s">
        <v>2</v>
      </c>
      <c r="F2" s="6"/>
      <c r="G2" s="6"/>
      <c r="H2" s="2"/>
      <c r="I2" s="2"/>
      <c r="J2" s="2"/>
      <c r="K2" s="2"/>
      <c r="Q2" s="7">
        <v>46087</v>
      </c>
    </row>
    <row r="3" spans="1:18" s="3" customFormat="1" ht="16" thickBot="1">
      <c r="A3" s="8"/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11" t="s">
        <v>18</v>
      </c>
      <c r="R3" s="2" t="s">
        <v>19</v>
      </c>
    </row>
    <row r="4" spans="1:18" s="3" customFormat="1" ht="18">
      <c r="A4" s="12">
        <v>1</v>
      </c>
      <c r="B4" s="13" t="s">
        <v>20</v>
      </c>
      <c r="C4" s="13">
        <v>201</v>
      </c>
      <c r="D4" s="14">
        <v>46053</v>
      </c>
      <c r="E4" s="15">
        <f>SUM(Q2)-D4</f>
        <v>34</v>
      </c>
      <c r="F4" s="16" t="s">
        <v>21</v>
      </c>
      <c r="G4" s="16" t="s">
        <v>22</v>
      </c>
      <c r="H4" s="16" t="s">
        <v>23</v>
      </c>
      <c r="I4" s="17">
        <v>55500</v>
      </c>
      <c r="J4" s="17" t="s">
        <v>24</v>
      </c>
      <c r="K4" s="17">
        <v>100000</v>
      </c>
      <c r="L4" s="18">
        <v>46073</v>
      </c>
      <c r="M4" s="19">
        <v>46082</v>
      </c>
      <c r="N4" s="20">
        <v>50000</v>
      </c>
      <c r="O4" s="20">
        <v>7500</v>
      </c>
      <c r="P4" s="20">
        <v>55000</v>
      </c>
      <c r="Q4" s="21">
        <v>50000</v>
      </c>
      <c r="R4" s="22">
        <f>SUM(K4)-I4+N4-P4-Q4+O4</f>
        <v>-3000</v>
      </c>
    </row>
    <row r="5" spans="1:18" s="3" customFormat="1" ht="18">
      <c r="A5" s="23">
        <v>2</v>
      </c>
      <c r="B5" s="24" t="s">
        <v>25</v>
      </c>
      <c r="C5" s="24">
        <v>104</v>
      </c>
      <c r="D5" s="25">
        <v>46053</v>
      </c>
      <c r="E5" s="15">
        <f>SUM(Q2)-D5</f>
        <v>34</v>
      </c>
      <c r="F5" s="26" t="s">
        <v>26</v>
      </c>
      <c r="G5" s="26" t="s">
        <v>27</v>
      </c>
      <c r="H5" s="26" t="s">
        <v>23</v>
      </c>
      <c r="I5" s="27">
        <v>183200</v>
      </c>
      <c r="J5" s="27"/>
      <c r="K5" s="27">
        <v>0</v>
      </c>
      <c r="L5" s="28"/>
      <c r="M5" s="29"/>
      <c r="N5" s="30"/>
      <c r="O5" s="30"/>
      <c r="P5" s="30"/>
      <c r="Q5" s="31"/>
      <c r="R5" s="22">
        <f>SUM(K5)-I5+N5-P5-Q5+O5</f>
        <v>-183200</v>
      </c>
    </row>
    <row r="6" spans="1:18" s="3" customFormat="1" ht="18">
      <c r="A6" s="23">
        <v>3</v>
      </c>
      <c r="B6" s="24" t="s">
        <v>28</v>
      </c>
      <c r="C6" s="24">
        <v>103</v>
      </c>
      <c r="D6" s="25">
        <v>46081</v>
      </c>
      <c r="E6" s="15">
        <f>SUM(Q2)-D6</f>
        <v>6</v>
      </c>
      <c r="F6" s="26" t="s">
        <v>21</v>
      </c>
      <c r="G6" s="26" t="s">
        <v>29</v>
      </c>
      <c r="H6" s="26" t="s">
        <v>30</v>
      </c>
      <c r="I6" s="27"/>
      <c r="J6" s="27"/>
      <c r="K6" s="27">
        <v>0</v>
      </c>
      <c r="L6" s="28"/>
      <c r="M6" s="29"/>
      <c r="N6" s="30"/>
      <c r="O6" s="30"/>
      <c r="P6" s="30"/>
      <c r="Q6" s="31"/>
      <c r="R6" s="22">
        <f>SUM(K6)-I6+N6-P6-Q6+O6</f>
        <v>0</v>
      </c>
    </row>
    <row r="7" spans="1:18" s="3" customFormat="1" ht="18">
      <c r="A7" s="23">
        <v>4</v>
      </c>
      <c r="B7" s="24"/>
      <c r="C7" s="24"/>
      <c r="D7" s="25"/>
      <c r="E7" s="15"/>
      <c r="F7" s="26"/>
      <c r="G7" s="26"/>
      <c r="H7" s="26"/>
      <c r="I7" s="27"/>
      <c r="J7" s="27"/>
      <c r="K7" s="27"/>
      <c r="L7" s="28"/>
      <c r="M7" s="29"/>
      <c r="N7" s="30"/>
      <c r="O7" s="30"/>
      <c r="P7" s="30"/>
      <c r="Q7" s="31"/>
      <c r="R7" s="22">
        <f>SUM(K7)-I7+N7-P7-Q7+O7</f>
        <v>0</v>
      </c>
    </row>
    <row r="8" spans="1:18" s="3" customFormat="1" ht="19" thickBot="1">
      <c r="A8" s="32">
        <v>5</v>
      </c>
      <c r="B8" s="33"/>
      <c r="C8" s="33"/>
      <c r="D8" s="34"/>
      <c r="E8" s="35"/>
      <c r="F8" s="36"/>
      <c r="G8" s="36"/>
      <c r="H8" s="36"/>
      <c r="I8" s="37"/>
      <c r="J8" s="37"/>
      <c r="K8" s="37"/>
      <c r="L8" s="38"/>
      <c r="M8" s="39"/>
      <c r="N8" s="40"/>
      <c r="O8" s="40"/>
      <c r="P8" s="40"/>
      <c r="Q8" s="41"/>
      <c r="R8" s="22">
        <f>SUM(K8)-I8+N8-P8-Q8+O8</f>
        <v>0</v>
      </c>
    </row>
    <row r="9" spans="1:18">
      <c r="I9" s="42">
        <f>SUM(I4:I8)</f>
        <v>238700</v>
      </c>
      <c r="J9" s="42"/>
      <c r="K9" s="43">
        <f>SUM(K4:K8)</f>
        <v>100000</v>
      </c>
      <c r="L9" s="2"/>
      <c r="M9" s="22"/>
      <c r="N9" s="44">
        <f>SUM(N4:N8)</f>
        <v>50000</v>
      </c>
      <c r="O9" s="44">
        <f>SUM(O4:O8)</f>
        <v>7500</v>
      </c>
      <c r="P9" s="45">
        <f>SUM(P4:P8)</f>
        <v>55000</v>
      </c>
      <c r="Q9" s="45">
        <f>SUM(Q4:Q8)</f>
        <v>50000</v>
      </c>
      <c r="R9" s="46"/>
    </row>
    <row r="10" spans="1:18" ht="21" thickBot="1">
      <c r="I10" s="42"/>
      <c r="J10" s="42"/>
      <c r="K10" s="43"/>
      <c r="L10" s="2"/>
      <c r="M10" s="22"/>
      <c r="N10" s="44"/>
      <c r="O10" s="44"/>
      <c r="P10" s="45"/>
      <c r="Q10" s="45"/>
      <c r="R10" s="46"/>
    </row>
    <row r="11" spans="1:18">
      <c r="P11" s="12" t="s">
        <v>31</v>
      </c>
      <c r="Q11" s="47">
        <f>SUM(K9)+N9+O9</f>
        <v>157500</v>
      </c>
    </row>
    <row r="12" spans="1:18" ht="21" thickBot="1">
      <c r="P12" s="48" t="s">
        <v>32</v>
      </c>
      <c r="Q12" s="49">
        <f>SUM(I9)+P9+Q9</f>
        <v>343700</v>
      </c>
    </row>
    <row r="13" spans="1:18" ht="26" thickTop="1" thickBot="1">
      <c r="P13" s="50" t="s">
        <v>33</v>
      </c>
      <c r="Q13" s="51">
        <f>SUM(R4:R8)</f>
        <v>-186200</v>
      </c>
      <c r="R13" s="46"/>
    </row>
  </sheetData>
  <autoFilter ref="A3:R9" xr:uid="{1DB0254F-000B-FA45-BF74-25EFAAE858B7}"/>
  <phoneticPr fontId="4"/>
  <pageMargins left="0.7" right="0.7" top="0.75" bottom="0.75" header="0.3" footer="0.3"/>
  <pageSetup paperSize="9" scale="49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太田塾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圭一 太田</dc:creator>
  <cp:lastModifiedBy>圭一 太田</cp:lastModifiedBy>
  <dcterms:created xsi:type="dcterms:W3CDTF">2026-03-07T22:18:36Z</dcterms:created>
  <dcterms:modified xsi:type="dcterms:W3CDTF">2026-03-07T22:19:04Z</dcterms:modified>
</cp:coreProperties>
</file>