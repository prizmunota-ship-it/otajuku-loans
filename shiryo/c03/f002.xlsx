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ootakeiichi/Library/CloudStorage/GoogleDrive-prizmun.ota@gmail.com/マイドライブ/太田塾/３．融資・物件購入/"/>
    </mc:Choice>
  </mc:AlternateContent>
  <xr:revisionPtr revIDLastSave="0" documentId="8_{E754714B-013C-FA4E-94E5-F2390CC994C7}" xr6:coauthVersionLast="47" xr6:coauthVersionMax="47" xr10:uidLastSave="{00000000-0000-0000-0000-000000000000}"/>
  <bookViews>
    <workbookView xWindow="0" yWindow="500" windowWidth="33600" windowHeight="19520" xr2:uid="{00000000-000D-0000-FFFF-FFFF00000000}"/>
  </bookViews>
  <sheets>
    <sheet name="入力シート" sheetId="1" r:id="rId1"/>
    <sheet name="手持ち用" sheetId="2" r:id="rId2"/>
    <sheet name="金融機関提出用" sheetId="3" r:id="rId3"/>
  </sheet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9" i="2" l="1"/>
  <c r="M37" i="2" s="1"/>
  <c r="H29" i="2"/>
  <c r="H37" i="2" s="1"/>
  <c r="C29" i="2"/>
  <c r="M28" i="2"/>
  <c r="M36" i="2" s="1"/>
  <c r="H28" i="2"/>
  <c r="H36" i="2" s="1"/>
  <c r="C27" i="2"/>
  <c r="C26" i="2"/>
  <c r="C25" i="2"/>
  <c r="C24" i="2"/>
  <c r="C23" i="2"/>
  <c r="C22" i="2"/>
  <c r="M35" i="2" s="1"/>
  <c r="M20" i="2"/>
  <c r="K20" i="2"/>
  <c r="H20" i="2"/>
  <c r="F20" i="2"/>
  <c r="D18" i="2"/>
  <c r="C18" i="2"/>
  <c r="B18" i="2"/>
  <c r="D17" i="2"/>
  <c r="C17" i="2"/>
  <c r="B17" i="2"/>
  <c r="D16" i="2"/>
  <c r="C16" i="2"/>
  <c r="C19" i="2" s="1"/>
  <c r="C34" i="2" s="1"/>
  <c r="B16" i="2"/>
  <c r="M15" i="2"/>
  <c r="L15" i="2"/>
  <c r="N15" i="2" s="1"/>
  <c r="K15" i="2"/>
  <c r="H15" i="2"/>
  <c r="G15" i="2"/>
  <c r="I15" i="2" s="1"/>
  <c r="F15" i="2"/>
  <c r="M14" i="2"/>
  <c r="L14" i="2"/>
  <c r="N14" i="2" s="1"/>
  <c r="M16" i="2" s="1"/>
  <c r="M25" i="2" s="1"/>
  <c r="K14" i="2"/>
  <c r="H14" i="2"/>
  <c r="G14" i="2"/>
  <c r="I14" i="2" s="1"/>
  <c r="F14" i="2"/>
  <c r="C13" i="2"/>
  <c r="C12" i="2"/>
  <c r="C11" i="2"/>
  <c r="C10" i="2"/>
  <c r="H8" i="2"/>
  <c r="C8" i="2"/>
  <c r="H7" i="2"/>
  <c r="C7" i="2"/>
  <c r="C6" i="2"/>
  <c r="B4" i="2"/>
  <c r="H1" i="2"/>
  <c r="C51" i="1"/>
  <c r="C48" i="1"/>
  <c r="I20" i="2" s="1"/>
  <c r="F47" i="1"/>
  <c r="F46" i="1"/>
  <c r="F45" i="1"/>
  <c r="F40" i="1"/>
  <c r="F38" i="1"/>
  <c r="C29" i="3" s="1"/>
  <c r="F36" i="1"/>
  <c r="F35" i="1"/>
  <c r="F34" i="1"/>
  <c r="F33" i="1"/>
  <c r="F32" i="1"/>
  <c r="F31" i="1"/>
  <c r="G27" i="1"/>
  <c r="D27" i="1"/>
  <c r="C18" i="1"/>
  <c r="C39" i="1" s="1"/>
  <c r="E12" i="1"/>
  <c r="E11" i="1"/>
  <c r="G8" i="1"/>
  <c r="H7" i="1"/>
  <c r="C9" i="2" s="1"/>
  <c r="M35" i="3"/>
  <c r="M33" i="3"/>
  <c r="H33" i="3"/>
  <c r="M27" i="3"/>
  <c r="H27" i="3"/>
  <c r="H35" i="3" s="1"/>
  <c r="C27" i="3"/>
  <c r="M26" i="3"/>
  <c r="M34" i="3" s="1"/>
  <c r="H26" i="3"/>
  <c r="H34" i="3" s="1"/>
  <c r="C26" i="3"/>
  <c r="C25" i="3"/>
  <c r="C24" i="3"/>
  <c r="C23" i="3"/>
  <c r="C22" i="3"/>
  <c r="C19" i="3"/>
  <c r="C34" i="3" s="1"/>
  <c r="M18" i="3"/>
  <c r="K18" i="3"/>
  <c r="H18" i="3"/>
  <c r="F18" i="3"/>
  <c r="D18" i="3"/>
  <c r="C18" i="3"/>
  <c r="B18" i="3"/>
  <c r="D17" i="3"/>
  <c r="C17" i="3"/>
  <c r="B17" i="3"/>
  <c r="D16" i="3"/>
  <c r="C16" i="3"/>
  <c r="B16" i="3"/>
  <c r="M14" i="3"/>
  <c r="M23" i="3" s="1"/>
  <c r="N13" i="3"/>
  <c r="M13" i="3"/>
  <c r="L13" i="3"/>
  <c r="K13" i="3"/>
  <c r="H13" i="3"/>
  <c r="G13" i="3"/>
  <c r="I13" i="3" s="1"/>
  <c r="F13" i="3"/>
  <c r="C13" i="3"/>
  <c r="N12" i="3"/>
  <c r="M12" i="3"/>
  <c r="L12" i="3"/>
  <c r="K12" i="3"/>
  <c r="H12" i="3"/>
  <c r="I12" i="3" s="1"/>
  <c r="G12" i="3"/>
  <c r="F12" i="3"/>
  <c r="C12" i="3"/>
  <c r="C11" i="3"/>
  <c r="C10" i="3"/>
  <c r="C8" i="3"/>
  <c r="H7" i="3"/>
  <c r="C7" i="3"/>
  <c r="C6" i="3"/>
  <c r="B4" i="3"/>
  <c r="H1" i="3"/>
  <c r="C9" i="3" l="1"/>
  <c r="C30" i="2"/>
  <c r="C30" i="3"/>
  <c r="M25" i="3"/>
  <c r="M32" i="3" s="1"/>
  <c r="M30" i="3"/>
  <c r="M32" i="2"/>
  <c r="M27" i="2"/>
  <c r="M34" i="2" s="1"/>
  <c r="H14" i="3"/>
  <c r="H23" i="3" s="1"/>
  <c r="F41" i="1"/>
  <c r="H16" i="2"/>
  <c r="H25" i="2" s="1"/>
  <c r="H22" i="2"/>
  <c r="H26" i="2" s="1"/>
  <c r="H33" i="2" s="1"/>
  <c r="N18" i="3"/>
  <c r="F39" i="1"/>
  <c r="F48" i="1"/>
  <c r="N20" i="2"/>
  <c r="H35" i="2"/>
  <c r="C37" i="1"/>
  <c r="I18" i="3"/>
  <c r="F37" i="1"/>
  <c r="C41" i="1" l="1"/>
  <c r="C28" i="3"/>
  <c r="C31" i="3" s="1"/>
  <c r="C28" i="2"/>
  <c r="C31" i="2" s="1"/>
  <c r="M41" i="2"/>
  <c r="M42" i="2"/>
  <c r="M45" i="2"/>
  <c r="M22" i="2"/>
  <c r="M26" i="2" s="1"/>
  <c r="H20" i="3"/>
  <c r="H24" i="3" s="1"/>
  <c r="H31" i="3" s="1"/>
  <c r="H43" i="3"/>
  <c r="H27" i="2"/>
  <c r="H34" i="2" s="1"/>
  <c r="H32" i="2"/>
  <c r="H31" i="2"/>
  <c r="M39" i="3"/>
  <c r="M40" i="3"/>
  <c r="H30" i="3"/>
  <c r="H25" i="3"/>
  <c r="H32" i="3" s="1"/>
  <c r="M43" i="3"/>
  <c r="M20" i="3"/>
  <c r="M24" i="3" s="1"/>
  <c r="M33" i="2" l="1"/>
  <c r="M39" i="2" s="1"/>
  <c r="M40" i="2" s="1"/>
  <c r="M31" i="2"/>
  <c r="M31" i="3"/>
  <c r="M37" i="3" s="1"/>
  <c r="M38" i="3" s="1"/>
  <c r="M29" i="3"/>
  <c r="H41" i="2"/>
  <c r="H39" i="2"/>
  <c r="H40" i="2" s="1"/>
  <c r="H42" i="2"/>
  <c r="H45" i="2"/>
  <c r="H6" i="3"/>
  <c r="H8" i="3" s="1"/>
  <c r="C35" i="3"/>
  <c r="C36" i="3" s="1"/>
  <c r="M41" i="3" s="1"/>
  <c r="H6" i="2"/>
  <c r="C35" i="2"/>
  <c r="C36" i="2" s="1"/>
  <c r="M43" i="2" s="1"/>
  <c r="H29" i="3"/>
  <c r="H40" i="3"/>
  <c r="H37" i="3"/>
  <c r="H38" i="3" s="1"/>
  <c r="H39" i="3"/>
  <c r="M42" i="3" l="1"/>
  <c r="H44" i="2"/>
  <c r="H43" i="2"/>
  <c r="H41" i="3"/>
  <c r="H42" i="3"/>
  <c r="H11" i="2"/>
  <c r="H9" i="2"/>
  <c r="M44" i="2"/>
</calcChain>
</file>

<file path=xl/sharedStrings.xml><?xml version="1.0" encoding="utf-8"?>
<sst xmlns="http://schemas.openxmlformats.org/spreadsheetml/2006/main" count="416" uniqueCount="120">
  <si>
    <t>収益物件事業計画書</t>
  </si>
  <si>
    <t>様</t>
  </si>
  <si>
    <t>【事業内容】</t>
  </si>
  <si>
    <t>【資金計画】</t>
  </si>
  <si>
    <t>事業名称</t>
  </si>
  <si>
    <t>諸経費</t>
  </si>
  <si>
    <t>円</t>
  </si>
  <si>
    <t>住所</t>
  </si>
  <si>
    <t>借入金</t>
  </si>
  <si>
    <t>敷地面積</t>
  </si>
  <si>
    <t>合計</t>
  </si>
  <si>
    <t>築年月</t>
  </si>
  <si>
    <t>建蔽率</t>
  </si>
  <si>
    <t>【家賃収入内訳】</t>
  </si>
  <si>
    <t>【家賃引き直し収入内訳】</t>
  </si>
  <si>
    <t>容積率</t>
  </si>
  <si>
    <t>タイプ</t>
  </si>
  <si>
    <t>戸数</t>
  </si>
  <si>
    <t>１戸あたり賃料</t>
  </si>
  <si>
    <t>賃料合計</t>
  </si>
  <si>
    <t>構造・規模</t>
  </si>
  <si>
    <t>延べ床面積</t>
  </si>
  <si>
    <t>【事業費】</t>
  </si>
  <si>
    <t>【返済計画】</t>
  </si>
  <si>
    <t>融資期間</t>
  </si>
  <si>
    <t>融資条件</t>
  </si>
  <si>
    <t>月間返済額</t>
  </si>
  <si>
    <t>事業費合計</t>
  </si>
  <si>
    <t>◯◯銀行</t>
  </si>
  <si>
    <t>【諸経費】</t>
  </si>
  <si>
    <t>固都税</t>
  </si>
  <si>
    <t>【収支計画】</t>
  </si>
  <si>
    <t>銀行手数料・出資金</t>
  </si>
  <si>
    <t>月間収入</t>
  </si>
  <si>
    <t>土地・建物登記費用</t>
  </si>
  <si>
    <t>月間借入支払</t>
  </si>
  <si>
    <t>抵当権設定登記</t>
  </si>
  <si>
    <t>月間管理料</t>
  </si>
  <si>
    <t>司法書士手数料等</t>
  </si>
  <si>
    <t>巡回清掃</t>
  </si>
  <si>
    <t>契約書印紙代</t>
  </si>
  <si>
    <t>インターネット</t>
  </si>
  <si>
    <t>仲介手数料</t>
  </si>
  <si>
    <t>火災保険（５年）</t>
  </si>
  <si>
    <t>月間収支合計</t>
  </si>
  <si>
    <t>不動産取得税</t>
  </si>
  <si>
    <t>年間収入</t>
  </si>
  <si>
    <t>諸経費合計</t>
  </si>
  <si>
    <t>年間借入支払</t>
  </si>
  <si>
    <t>年間管理料</t>
  </si>
  <si>
    <t>【総事業費】</t>
  </si>
  <si>
    <t>固定資産税</t>
  </si>
  <si>
    <t>※不動産所得税は、取得から半年後に納税通知書が届きます。</t>
  </si>
  <si>
    <t>年間収支合計</t>
  </si>
  <si>
    <t>表面利回り</t>
  </si>
  <si>
    <t>%</t>
  </si>
  <si>
    <t>NOI</t>
  </si>
  <si>
    <t>=</t>
  </si>
  <si>
    <t>FCR</t>
  </si>
  <si>
    <t>DCR</t>
  </si>
  <si>
    <t>&gt;1.3</t>
  </si>
  <si>
    <t>返済比率</t>
  </si>
  <si>
    <t>％</t>
  </si>
  <si>
    <t>不動産投資 事業計画書 ― 入力シート</t>
  </si>
  <si>
    <t>⚠️  Excelでダウンロードしてからご使用ください</t>
  </si>
  <si>
    <t>【物件情報】</t>
  </si>
  <si>
    <t>購入者名</t>
  </si>
  <si>
    <t>事業名称（物件名）</t>
  </si>
  <si>
    <t>所在地</t>
  </si>
  <si>
    <t>築年</t>
  </si>
  <si>
    <t>年</t>
  </si>
  <si>
    <t>月</t>
  </si>
  <si>
    <t>▲規模（例：２階建）</t>
  </si>
  <si>
    <t>㎡</t>
  </si>
  <si>
    <t>坪 (自動)</t>
  </si>
  <si>
    <t>【購入価格】  ※万円で入力　中古不動産は「土地建物価格」に一括入力でもOK</t>
  </si>
  <si>
    <t>土地建物価格</t>
  </si>
  <si>
    <t>万円</t>
  </si>
  <si>
    <t>▲中古不動産など一括金額で入力する場合</t>
  </si>
  <si>
    <t>土地価格</t>
  </si>
  <si>
    <t>▲内訳が分かる場合に入力</t>
  </si>
  <si>
    <t>建物価格</t>
  </si>
  <si>
    <t>合計取引価格</t>
  </si>
  <si>
    <t>★土地建物価格 or 土地+建物を自動合算</t>
  </si>
  <si>
    <t>【間取り・家賃設定】（最大5タイプ）</t>
  </si>
  <si>
    <t>実際の家賃（円）</t>
  </si>
  <si>
    <t>家賃引き直し（円）</t>
  </si>
  <si>
    <t>合計（月額）</t>
  </si>
  <si>
    <t>【諸経費】  黄色=入力セル　緑色=自動計算（上書き可）</t>
  </si>
  <si>
    <t>費目</t>
  </si>
  <si>
    <t>実費（円）</t>
  </si>
  <si>
    <t>金融機関提出用（円）</t>
  </si>
  <si>
    <t>固定資産税・都市計画税</t>
  </si>
  <si>
    <t>★手持ち用・提出用 共通</t>
  </si>
  <si>
    <t>銀行ローン事務手数料等</t>
  </si>
  <si>
    <t>土地・建物所有権移転登記</t>
  </si>
  <si>
    <t>★購入価格×3%+6万×1.1（税込）上書き可</t>
  </si>
  <si>
    <t>火災保険料</t>
  </si>
  <si>
    <t>★1年額入力→提出用(右)は自動で5年分</t>
  </si>
  <si>
    <t>★構造別概算（木造1.5%・鉄骨造2%・RC2.5%・未選択3%）高め算出・上書き可</t>
  </si>
  <si>
    <t>出資金・その他</t>
  </si>
  <si>
    <t>【融資条件】  ※融資額は万円で入力</t>
  </si>
  <si>
    <t>項目</t>
  </si>
  <si>
    <t>実費ケース</t>
  </si>
  <si>
    <t>金融機関提出用</t>
  </si>
  <si>
    <t>融資額（万円）</t>
  </si>
  <si>
    <t>★実費と同じ値を自動反映</t>
  </si>
  <si>
    <t>融資期間（年）</t>
  </si>
  <si>
    <t>金利（年率）</t>
  </si>
  <si>
    <t>★例: 4.05 と入力 → 年率4.05%。Googleドライブ経由でも正確に計算</t>
  </si>
  <si>
    <t>月間返済額（自動計算・元利均等）</t>
  </si>
  <si>
    <t>【ランニングコスト・自己資金】</t>
  </si>
  <si>
    <t>円/月</t>
  </si>
  <si>
    <t>手持ち5%+税 / 金融機関4%+税で自動計算</t>
  </si>
  <si>
    <t>巡回清掃（月）</t>
  </si>
  <si>
    <t>インターネット等（月）</t>
  </si>
  <si>
    <t>頭金（自己資金）</t>
  </si>
  <si>
    <t>頭金</t>
  </si>
  <si>
    <t>自己資金</t>
  </si>
  <si>
    <t>火災保険（１年）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</si>
</sst>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_);[Red]\(#,##0\)"/>
    <numFmt numFmtId="177" formatCode="#,##0.00_);[Red]\(#,##0.00\)"/>
    <numFmt numFmtId="178" formatCode="yyyy&quot;年&quot;mm&quot;月&quot;dd&quot;日&quot;"/>
  </numFmts>
  <fonts count="25">
    <font>
      <sz val="11"/>
      <color theme="1"/>
      <name val="ＭＳ Ｐゴシック"/>
      <family val="2"/>
      <scheme val="minor"/>
    </font>
    <font>
      <sz val="14"/>
      <name val="ＭＳ Ｐゴシック"/>
      <family val="2"/>
      <charset val="128"/>
    </font>
    <font>
      <sz val="14"/>
      <name val="DejaVu Sans"/>
      <family val="2"/>
    </font>
    <font>
      <sz val="11"/>
      <name val="ＭＳ Ｐゴシック"/>
      <family val="2"/>
      <charset val="128"/>
    </font>
    <font>
      <b/>
      <sz val="14"/>
      <name val="ＭＳ Ｐゴシック"/>
      <family val="2"/>
      <charset val="128"/>
    </font>
    <font>
      <b/>
      <sz val="14"/>
      <color rgb="FFFF0000"/>
      <name val="ＭＳ Ｐゴシック"/>
      <family val="2"/>
      <charset val="128"/>
    </font>
    <font>
      <sz val="6"/>
      <name val="ＭＳ Ｐゴシック"/>
      <family val="3"/>
      <charset val="128"/>
      <scheme val="minor"/>
    </font>
    <font>
      <sz val="14"/>
      <color theme="1"/>
      <name val="ＭＳ Ｐゴシック"/>
      <family val="2"/>
      <charset val="128"/>
    </font>
    <font>
      <u/>
      <sz val="28"/>
      <name val="ＭＳ Ｐゴシック"/>
      <family val="2"/>
      <charset val="128"/>
    </font>
    <font>
      <b/>
      <sz val="14"/>
      <color rgb="FFFFFFFF"/>
      <name val="ＭＳ Ｐゴシック"/>
      <family val="2"/>
      <charset val="128"/>
    </font>
    <font>
      <b/>
      <sz val="11"/>
      <color rgb="FFFFFFFF"/>
      <name val="ＭＳ Ｐゴシック"/>
      <family val="2"/>
      <charset val="128"/>
    </font>
    <font>
      <b/>
      <sz val="11"/>
      <color rgb="FF000000"/>
      <name val="ＭＳ Ｐゴシック"/>
      <family val="2"/>
      <charset val="128"/>
    </font>
    <font>
      <b/>
      <sz val="11"/>
      <color rgb="FF0070C0"/>
      <name val="ＭＳ Ｐゴシック"/>
      <family val="2"/>
      <charset val="128"/>
    </font>
    <font>
      <sz val="10"/>
      <color rgb="FF000000"/>
      <name val="ＭＳ Ｐゴシック"/>
      <family val="2"/>
      <charset val="128"/>
    </font>
    <font>
      <b/>
      <sz val="10"/>
      <color rgb="FF375623"/>
      <name val="ＭＳ Ｐゴシック"/>
      <family val="2"/>
      <charset val="128"/>
    </font>
    <font>
      <i/>
      <sz val="8"/>
      <color rgb="FF375623"/>
      <name val="ＭＳ Ｐゴシック"/>
      <family val="2"/>
      <charset val="128"/>
    </font>
    <font>
      <b/>
      <sz val="12"/>
      <color rgb="FF0070C0"/>
      <name val="ＭＳ Ｐゴシック"/>
      <family val="2"/>
      <charset val="128"/>
    </font>
    <font>
      <b/>
      <sz val="11"/>
      <color rgb="FF375623"/>
      <name val="ＭＳ Ｐゴシック"/>
      <family val="2"/>
      <charset val="128"/>
    </font>
    <font>
      <i/>
      <sz val="9"/>
      <color rgb="FF375623"/>
      <name val="ＭＳ Ｐゴシック"/>
      <family val="2"/>
      <charset val="128"/>
    </font>
    <font>
      <b/>
      <sz val="12"/>
      <color rgb="FF375623"/>
      <name val="ＭＳ Ｐゴシック"/>
      <family val="2"/>
      <charset val="128"/>
    </font>
    <font>
      <b/>
      <sz val="10"/>
      <color rgb="FF000000"/>
      <name val="ＭＳ Ｐゴシック"/>
      <family val="2"/>
      <charset val="128"/>
    </font>
    <font>
      <sz val="9"/>
      <color rgb="FF000000"/>
      <name val="ＭＳ Ｐゴシック"/>
      <family val="2"/>
      <charset val="128"/>
    </font>
    <font>
      <sz val="11"/>
      <color rgb="FF000000"/>
      <name val="ＭＳ Ｐゴシック"/>
      <family val="2"/>
      <charset val="128"/>
    </font>
    <font>
      <b/>
      <sz val="12"/>
      <color rgb="FF000000"/>
      <name val="ＭＳ Ｐゴシック"/>
      <family val="2"/>
      <charset val="128"/>
    </font>
    <font>
      <b/>
      <sz val="15"/>
      <color rgb="FFFFFFFF"/>
      <name val="ＭＳ Ｐゴシック"/>
      <family val="2"/>
      <charset val="128"/>
    </font>
  </fonts>
  <fills count="11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FF"/>
        <bgColor rgb="FFFFFFCC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F99"/>
      </patternFill>
    </fill>
    <fill>
      <patternFill patternType="solid">
        <fgColor rgb="FFE2EFDA"/>
      </patternFill>
    </fill>
    <fill>
      <patternFill patternType="solid">
        <fgColor rgb="FFD9D9D9"/>
      </patternFill>
    </fill>
    <fill>
      <patternFill patternType="solid">
        <fgColor rgb="FFC0C0C0"/>
      </patternFill>
    </fill>
    <fill>
      <patternFill patternType="solid">
        <fgColor rgb="FFC00000"/>
      </patternFill>
    </fill>
  </fills>
  <borders count="6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double">
        <color auto="1"/>
      </top>
      <bottom style="medium">
        <color auto="1"/>
      </bottom>
      <diagonal/>
    </border>
    <border>
      <left/>
      <right/>
      <top style="double">
        <color auto="1"/>
      </top>
      <bottom style="medium">
        <color auto="1"/>
      </bottom>
      <diagonal/>
    </border>
    <border>
      <left style="thin">
        <color auto="1"/>
      </left>
      <right/>
      <top style="double">
        <color auto="1"/>
      </top>
      <bottom style="medium">
        <color auto="1"/>
      </bottom>
      <diagonal/>
    </border>
    <border>
      <left/>
      <right style="medium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medium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 style="medium">
        <color auto="1"/>
      </right>
      <top style="double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1">
    <xf numFmtId="0" fontId="0" fillId="0" borderId="0" xfId="0"/>
    <xf numFmtId="176" fontId="2" fillId="0" borderId="1" xfId="0" applyNumberFormat="1" applyFont="1" applyBorder="1" applyAlignment="1">
      <alignment vertical="center"/>
    </xf>
    <xf numFmtId="176" fontId="2" fillId="0" borderId="0" xfId="0" applyNumberFormat="1" applyFont="1" applyAlignment="1">
      <alignment vertical="center"/>
    </xf>
    <xf numFmtId="176" fontId="1" fillId="0" borderId="6" xfId="0" applyNumberFormat="1" applyFont="1" applyBorder="1" applyAlignment="1">
      <alignment vertical="center"/>
    </xf>
    <xf numFmtId="176" fontId="1" fillId="0" borderId="7" xfId="0" applyNumberFormat="1" applyFont="1" applyBorder="1" applyAlignment="1">
      <alignment vertical="center"/>
    </xf>
    <xf numFmtId="176" fontId="1" fillId="0" borderId="13" xfId="0" applyNumberFormat="1" applyFont="1" applyBorder="1" applyAlignment="1">
      <alignment vertical="center"/>
    </xf>
    <xf numFmtId="176" fontId="1" fillId="0" borderId="16" xfId="0" applyNumberFormat="1" applyFont="1" applyBorder="1" applyAlignment="1">
      <alignment vertical="center"/>
    </xf>
    <xf numFmtId="176" fontId="1" fillId="2" borderId="20" xfId="0" applyNumberFormat="1" applyFont="1" applyFill="1" applyBorder="1" applyAlignment="1">
      <alignment vertical="center"/>
    </xf>
    <xf numFmtId="176" fontId="4" fillId="2" borderId="21" xfId="0" applyNumberFormat="1" applyFont="1" applyFill="1" applyBorder="1" applyAlignment="1">
      <alignment vertical="center"/>
    </xf>
    <xf numFmtId="176" fontId="1" fillId="0" borderId="0" xfId="0" applyNumberFormat="1" applyFont="1" applyAlignment="1">
      <alignment vertical="center"/>
    </xf>
    <xf numFmtId="176" fontId="4" fillId="0" borderId="0" xfId="0" applyNumberFormat="1" applyFont="1" applyAlignment="1">
      <alignment vertical="center"/>
    </xf>
    <xf numFmtId="3" fontId="1" fillId="0" borderId="10" xfId="0" applyNumberFormat="1" applyFont="1" applyBorder="1" applyAlignment="1">
      <alignment vertical="center"/>
    </xf>
    <xf numFmtId="176" fontId="4" fillId="2" borderId="31" xfId="0" applyNumberFormat="1" applyFont="1" applyFill="1" applyBorder="1" applyAlignment="1">
      <alignment vertical="center"/>
    </xf>
    <xf numFmtId="176" fontId="1" fillId="0" borderId="0" xfId="0" applyNumberFormat="1" applyFont="1" applyAlignment="1">
      <alignment horizontal="center" vertical="center"/>
    </xf>
    <xf numFmtId="176" fontId="1" fillId="0" borderId="35" xfId="0" applyNumberFormat="1" applyFont="1" applyBorder="1" applyAlignment="1">
      <alignment vertical="center"/>
    </xf>
    <xf numFmtId="176" fontId="1" fillId="0" borderId="36" xfId="0" applyNumberFormat="1" applyFont="1" applyBorder="1" applyAlignment="1">
      <alignment vertical="center"/>
    </xf>
    <xf numFmtId="176" fontId="1" fillId="2" borderId="31" xfId="0" applyNumberFormat="1" applyFont="1" applyFill="1" applyBorder="1" applyAlignment="1">
      <alignment vertical="center"/>
    </xf>
    <xf numFmtId="176" fontId="4" fillId="2" borderId="38" xfId="0" applyNumberFormat="1" applyFont="1" applyFill="1" applyBorder="1" applyAlignment="1">
      <alignment vertical="center"/>
    </xf>
    <xf numFmtId="3" fontId="1" fillId="0" borderId="14" xfId="0" applyNumberFormat="1" applyFont="1" applyBorder="1" applyAlignment="1">
      <alignment vertical="center"/>
    </xf>
    <xf numFmtId="176" fontId="5" fillId="0" borderId="0" xfId="0" applyNumberFormat="1" applyFont="1" applyAlignment="1">
      <alignment vertical="center"/>
    </xf>
    <xf numFmtId="3" fontId="1" fillId="0" borderId="7" xfId="0" applyNumberFormat="1" applyFont="1" applyBorder="1" applyAlignment="1">
      <alignment vertical="center"/>
    </xf>
    <xf numFmtId="3" fontId="1" fillId="0" borderId="17" xfId="0" applyNumberFormat="1" applyFont="1" applyBorder="1" applyAlignment="1">
      <alignment vertical="center"/>
    </xf>
    <xf numFmtId="176" fontId="1" fillId="0" borderId="40" xfId="0" applyNumberFormat="1" applyFont="1" applyBorder="1" applyAlignment="1">
      <alignment vertical="center"/>
    </xf>
    <xf numFmtId="176" fontId="1" fillId="0" borderId="41" xfId="0" applyNumberFormat="1" applyFont="1" applyBorder="1" applyAlignment="1">
      <alignment vertical="center"/>
    </xf>
    <xf numFmtId="176" fontId="1" fillId="0" borderId="42" xfId="0" applyNumberFormat="1" applyFont="1" applyBorder="1" applyAlignment="1">
      <alignment vertical="center"/>
    </xf>
    <xf numFmtId="176" fontId="1" fillId="2" borderId="45" xfId="0" applyNumberFormat="1" applyFont="1" applyFill="1" applyBorder="1" applyAlignment="1">
      <alignment vertical="center"/>
    </xf>
    <xf numFmtId="176" fontId="4" fillId="2" borderId="46" xfId="0" applyNumberFormat="1" applyFont="1" applyFill="1" applyBorder="1" applyAlignment="1">
      <alignment vertical="center"/>
    </xf>
    <xf numFmtId="176" fontId="1" fillId="2" borderId="50" xfId="0" applyNumberFormat="1" applyFont="1" applyFill="1" applyBorder="1" applyAlignment="1">
      <alignment vertical="center"/>
    </xf>
    <xf numFmtId="177" fontId="4" fillId="2" borderId="53" xfId="0" applyNumberFormat="1" applyFont="1" applyFill="1" applyBorder="1" applyAlignment="1">
      <alignment vertical="center"/>
    </xf>
    <xf numFmtId="176" fontId="4" fillId="2" borderId="32" xfId="0" applyNumberFormat="1" applyFont="1" applyFill="1" applyBorder="1" applyAlignment="1">
      <alignment vertical="center"/>
    </xf>
    <xf numFmtId="176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vertical="center"/>
    </xf>
    <xf numFmtId="176" fontId="1" fillId="0" borderId="2" xfId="0" applyNumberFormat="1" applyFont="1" applyBorder="1" applyAlignment="1">
      <alignment vertical="center"/>
    </xf>
    <xf numFmtId="176" fontId="1" fillId="0" borderId="5" xfId="0" applyNumberFormat="1" applyFont="1" applyBorder="1" applyAlignment="1">
      <alignment vertical="center"/>
    </xf>
    <xf numFmtId="176" fontId="1" fillId="0" borderId="8" xfId="0" applyNumberFormat="1" applyFont="1" applyBorder="1" applyAlignment="1">
      <alignment vertical="center"/>
    </xf>
    <xf numFmtId="176" fontId="1" fillId="0" borderId="9" xfId="0" applyNumberFormat="1" applyFont="1" applyBorder="1" applyAlignment="1">
      <alignment vertical="center"/>
    </xf>
    <xf numFmtId="176" fontId="1" fillId="0" borderId="12" xfId="0" applyNumberFormat="1" applyFont="1" applyBorder="1" applyAlignment="1">
      <alignment vertical="center"/>
    </xf>
    <xf numFmtId="176" fontId="1" fillId="0" borderId="11" xfId="0" applyNumberFormat="1" applyFont="1" applyBorder="1" applyAlignment="1">
      <alignment vertical="center"/>
    </xf>
    <xf numFmtId="176" fontId="1" fillId="0" borderId="15" xfId="0" applyNumberFormat="1" applyFont="1" applyBorder="1" applyAlignment="1">
      <alignment vertical="center"/>
    </xf>
    <xf numFmtId="176" fontId="1" fillId="0" borderId="18" xfId="0" applyNumberFormat="1" applyFont="1" applyBorder="1" applyAlignment="1">
      <alignment vertical="center"/>
    </xf>
    <xf numFmtId="176" fontId="1" fillId="2" borderId="19" xfId="0" applyNumberFormat="1" applyFont="1" applyFill="1" applyBorder="1" applyAlignment="1">
      <alignment vertical="center"/>
    </xf>
    <xf numFmtId="176" fontId="4" fillId="2" borderId="22" xfId="0" applyNumberFormat="1" applyFont="1" applyFill="1" applyBorder="1" applyAlignment="1">
      <alignment vertical="center"/>
    </xf>
    <xf numFmtId="176" fontId="1" fillId="0" borderId="3" xfId="0" applyNumberFormat="1" applyFont="1" applyBorder="1" applyAlignment="1">
      <alignment vertical="center"/>
    </xf>
    <xf numFmtId="176" fontId="1" fillId="0" borderId="24" xfId="0" applyNumberFormat="1" applyFont="1" applyBorder="1" applyAlignment="1">
      <alignment vertical="center"/>
    </xf>
    <xf numFmtId="176" fontId="1" fillId="0" borderId="4" xfId="0" applyNumberFormat="1" applyFont="1" applyBorder="1" applyAlignment="1">
      <alignment vertical="center"/>
    </xf>
    <xf numFmtId="176" fontId="1" fillId="0" borderId="54" xfId="0" applyNumberFormat="1" applyFont="1" applyBorder="1" applyAlignment="1">
      <alignment vertical="center"/>
    </xf>
    <xf numFmtId="176" fontId="1" fillId="0" borderId="33" xfId="0" applyNumberFormat="1" applyFont="1" applyBorder="1" applyAlignment="1">
      <alignment vertical="center"/>
    </xf>
    <xf numFmtId="176" fontId="1" fillId="2" borderId="30" xfId="0" applyNumberFormat="1" applyFont="1" applyFill="1" applyBorder="1" applyAlignment="1">
      <alignment vertical="center"/>
    </xf>
    <xf numFmtId="176" fontId="1" fillId="0" borderId="33" xfId="0" applyNumberFormat="1" applyFont="1" applyBorder="1" applyAlignment="1">
      <alignment horizontal="left" vertical="center"/>
    </xf>
    <xf numFmtId="176" fontId="1" fillId="0" borderId="2" xfId="0" applyNumberFormat="1" applyFont="1" applyBorder="1" applyAlignment="1">
      <alignment horizontal="left" vertical="center"/>
    </xf>
    <xf numFmtId="176" fontId="1" fillId="2" borderId="37" xfId="0" applyNumberFormat="1" applyFont="1" applyFill="1" applyBorder="1" applyAlignment="1">
      <alignment vertical="center"/>
    </xf>
    <xf numFmtId="176" fontId="1" fillId="0" borderId="9" xfId="0" applyNumberFormat="1" applyFont="1" applyBorder="1" applyAlignment="1">
      <alignment horizontal="left" vertical="center"/>
    </xf>
    <xf numFmtId="176" fontId="1" fillId="0" borderId="39" xfId="0" applyNumberFormat="1" applyFont="1" applyBorder="1" applyAlignment="1">
      <alignment vertical="center"/>
    </xf>
    <xf numFmtId="176" fontId="1" fillId="2" borderId="43" xfId="0" applyNumberFormat="1" applyFont="1" applyFill="1" applyBorder="1" applyAlignment="1">
      <alignment vertical="center"/>
    </xf>
    <xf numFmtId="176" fontId="1" fillId="2" borderId="44" xfId="0" applyNumberFormat="1" applyFont="1" applyFill="1" applyBorder="1" applyAlignment="1">
      <alignment vertical="center"/>
    </xf>
    <xf numFmtId="176" fontId="4" fillId="2" borderId="47" xfId="0" applyNumberFormat="1" applyFont="1" applyFill="1" applyBorder="1" applyAlignment="1">
      <alignment vertical="center"/>
    </xf>
    <xf numFmtId="176" fontId="1" fillId="0" borderId="12" xfId="0" applyNumberFormat="1" applyFont="1" applyBorder="1" applyAlignment="1">
      <alignment horizontal="left" vertical="center"/>
    </xf>
    <xf numFmtId="176" fontId="1" fillId="0" borderId="1" xfId="0" applyNumberFormat="1" applyFont="1" applyBorder="1" applyAlignment="1">
      <alignment vertical="center"/>
    </xf>
    <xf numFmtId="176" fontId="1" fillId="0" borderId="48" xfId="0" applyNumberFormat="1" applyFont="1" applyBorder="1" applyAlignment="1">
      <alignment vertical="center"/>
    </xf>
    <xf numFmtId="176" fontId="1" fillId="2" borderId="49" xfId="0" applyNumberFormat="1" applyFont="1" applyFill="1" applyBorder="1" applyAlignment="1">
      <alignment vertical="center"/>
    </xf>
    <xf numFmtId="176" fontId="4" fillId="2" borderId="52" xfId="0" applyNumberFormat="1" applyFont="1" applyFill="1" applyBorder="1" applyAlignment="1">
      <alignment vertical="center"/>
    </xf>
    <xf numFmtId="0" fontId="7" fillId="0" borderId="0" xfId="0" applyFont="1"/>
    <xf numFmtId="176" fontId="1" fillId="0" borderId="23" xfId="0" applyNumberFormat="1" applyFont="1" applyBorder="1" applyAlignment="1">
      <alignment vertical="center"/>
    </xf>
    <xf numFmtId="176" fontId="1" fillId="0" borderId="6" xfId="0" applyNumberFormat="1" applyFont="1" applyBorder="1" applyAlignment="1">
      <alignment vertical="center" wrapText="1"/>
    </xf>
    <xf numFmtId="0" fontId="7" fillId="0" borderId="34" xfId="0" applyFont="1" applyBorder="1"/>
    <xf numFmtId="176" fontId="4" fillId="2" borderId="51" xfId="0" applyNumberFormat="1" applyFont="1" applyFill="1" applyBorder="1" applyAlignment="1">
      <alignment vertical="center"/>
    </xf>
    <xf numFmtId="176" fontId="3" fillId="0" borderId="0" xfId="0" applyNumberFormat="1" applyFont="1" applyAlignment="1">
      <alignment vertical="center"/>
    </xf>
    <xf numFmtId="176" fontId="1" fillId="2" borderId="56" xfId="0" applyNumberFormat="1" applyFont="1" applyFill="1" applyBorder="1" applyAlignment="1">
      <alignment vertical="center"/>
    </xf>
    <xf numFmtId="176" fontId="1" fillId="2" borderId="57" xfId="0" applyNumberFormat="1" applyFont="1" applyFill="1" applyBorder="1" applyAlignment="1">
      <alignment vertical="center"/>
    </xf>
    <xf numFmtId="176" fontId="4" fillId="2" borderId="58" xfId="0" applyNumberFormat="1" applyFont="1" applyFill="1" applyBorder="1" applyAlignment="1">
      <alignment vertical="center"/>
    </xf>
    <xf numFmtId="176" fontId="4" fillId="2" borderId="59" xfId="0" applyNumberFormat="1" applyFont="1" applyFill="1" applyBorder="1" applyAlignment="1">
      <alignment vertical="center"/>
    </xf>
    <xf numFmtId="176" fontId="1" fillId="0" borderId="60" xfId="0" applyNumberFormat="1" applyFont="1" applyBorder="1" applyAlignment="1">
      <alignment vertical="center"/>
    </xf>
    <xf numFmtId="0" fontId="7" fillId="0" borderId="6" xfId="0" applyFont="1" applyBorder="1"/>
    <xf numFmtId="0" fontId="7" fillId="0" borderId="31" xfId="0" applyFont="1" applyBorder="1"/>
    <xf numFmtId="176" fontId="1" fillId="0" borderId="61" xfId="0" applyNumberFormat="1" applyFont="1" applyBorder="1" applyAlignment="1">
      <alignment vertical="center"/>
    </xf>
    <xf numFmtId="176" fontId="1" fillId="0" borderId="62" xfId="0" applyNumberFormat="1" applyFont="1" applyBorder="1" applyAlignment="1">
      <alignment vertical="center"/>
    </xf>
    <xf numFmtId="176" fontId="2" fillId="0" borderId="1" xfId="0" applyNumberFormat="1" applyFont="1" applyBorder="1" applyAlignment="1">
      <alignment vertical="center" shrinkToFit="1"/>
    </xf>
    <xf numFmtId="176" fontId="1" fillId="0" borderId="14" xfId="0" applyNumberFormat="1" applyFont="1" applyBorder="1" applyAlignment="1">
      <alignment horizontal="right" vertical="center" shrinkToFit="1"/>
    </xf>
    <xf numFmtId="176" fontId="1" fillId="0" borderId="17" xfId="0" applyNumberFormat="1" applyFont="1" applyBorder="1" applyAlignment="1">
      <alignment horizontal="right" vertical="center" shrinkToFit="1"/>
    </xf>
    <xf numFmtId="176" fontId="1" fillId="0" borderId="9" xfId="0" applyNumberFormat="1" applyFont="1" applyBorder="1" applyAlignment="1">
      <alignment vertical="center" shrinkToFit="1"/>
    </xf>
    <xf numFmtId="176" fontId="1" fillId="0" borderId="27" xfId="0" applyNumberFormat="1" applyFont="1" applyBorder="1" applyAlignment="1">
      <alignment horizontal="right" vertical="center" shrinkToFit="1"/>
    </xf>
    <xf numFmtId="176" fontId="1" fillId="0" borderId="28" xfId="0" applyNumberFormat="1" applyFont="1" applyBorder="1" applyAlignment="1">
      <alignment vertical="center" shrinkToFit="1"/>
    </xf>
    <xf numFmtId="176" fontId="1" fillId="0" borderId="29" xfId="0" applyNumberFormat="1" applyFont="1" applyBorder="1" applyAlignment="1">
      <alignment horizontal="right" vertical="center" shrinkToFit="1"/>
    </xf>
    <xf numFmtId="176" fontId="1" fillId="0" borderId="55" xfId="0" applyNumberFormat="1" applyFont="1" applyBorder="1" applyAlignment="1">
      <alignment horizontal="right" vertical="center" shrinkToFit="1"/>
    </xf>
    <xf numFmtId="176" fontId="1" fillId="0" borderId="12" xfId="0" applyNumberFormat="1" applyFont="1" applyBorder="1" applyAlignment="1">
      <alignment vertical="center" shrinkToFit="1"/>
    </xf>
    <xf numFmtId="176" fontId="1" fillId="0" borderId="27" xfId="0" applyNumberFormat="1" applyFont="1" applyBorder="1" applyAlignment="1">
      <alignment vertical="center" shrinkToFit="1"/>
    </xf>
    <xf numFmtId="3" fontId="1" fillId="3" borderId="11" xfId="0" applyNumberFormat="1" applyFont="1" applyFill="1" applyBorder="1" applyAlignment="1">
      <alignment vertical="center" shrinkToFit="1"/>
    </xf>
    <xf numFmtId="3" fontId="1" fillId="0" borderId="6" xfId="0" applyNumberFormat="1" applyFont="1" applyBorder="1" applyAlignment="1">
      <alignment vertical="center" shrinkToFit="1"/>
    </xf>
    <xf numFmtId="3" fontId="1" fillId="0" borderId="14" xfId="0" applyNumberFormat="1" applyFont="1" applyBorder="1" applyAlignment="1">
      <alignment vertical="center" shrinkToFit="1"/>
    </xf>
    <xf numFmtId="3" fontId="1" fillId="0" borderId="14" xfId="0" applyNumberFormat="1" applyFont="1" applyBorder="1" applyAlignment="1">
      <alignment horizontal="right" vertical="center" shrinkToFit="1"/>
    </xf>
    <xf numFmtId="3" fontId="1" fillId="0" borderId="0" xfId="0" applyNumberFormat="1" applyFont="1" applyAlignment="1">
      <alignment vertical="center" shrinkToFit="1"/>
    </xf>
    <xf numFmtId="3" fontId="1" fillId="0" borderId="17" xfId="0" applyNumberFormat="1" applyFont="1" applyBorder="1" applyAlignment="1">
      <alignment vertical="center" shrinkToFit="1"/>
    </xf>
    <xf numFmtId="176" fontId="1" fillId="0" borderId="1" xfId="0" applyNumberFormat="1" applyFont="1" applyBorder="1" applyAlignment="1">
      <alignment vertical="center" shrinkToFit="1"/>
    </xf>
    <xf numFmtId="0" fontId="24" fillId="10" borderId="0" xfId="0" applyFont="1" applyFill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2" fillId="6" borderId="0" xfId="0" applyFont="1" applyFill="1" applyAlignment="1">
      <alignment horizontal="center" vertical="center"/>
    </xf>
    <xf numFmtId="1" fontId="12" fillId="6" borderId="0" xfId="0" applyNumberFormat="1" applyFont="1" applyFill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4" fillId="7" borderId="0" xfId="0" applyFont="1" applyFill="1" applyAlignment="1">
      <alignment horizontal="left" vertical="center"/>
    </xf>
    <xf numFmtId="0" fontId="15" fillId="0" borderId="0" xfId="0" applyFont="1" applyAlignment="1">
      <alignment horizontal="left" vertical="center"/>
    </xf>
    <xf numFmtId="2" fontId="16" fillId="6" borderId="0" xfId="0" applyNumberFormat="1" applyFont="1" applyFill="1" applyAlignment="1">
      <alignment horizontal="right" vertical="center"/>
    </xf>
    <xf numFmtId="2" fontId="17" fillId="7" borderId="0" xfId="0" applyNumberFormat="1" applyFont="1" applyFill="1" applyAlignment="1">
      <alignment horizontal="right" vertical="center"/>
    </xf>
    <xf numFmtId="0" fontId="18" fillId="0" borderId="0" xfId="0" applyFont="1" applyAlignment="1">
      <alignment horizontal="left" vertical="center"/>
    </xf>
    <xf numFmtId="3" fontId="16" fillId="6" borderId="0" xfId="0" applyNumberFormat="1" applyFont="1" applyFill="1" applyAlignment="1">
      <alignment horizontal="right" vertical="center"/>
    </xf>
    <xf numFmtId="0" fontId="20" fillId="8" borderId="0" xfId="0" applyFont="1" applyFill="1" applyAlignment="1">
      <alignment horizontal="center" vertical="center" wrapText="1"/>
    </xf>
    <xf numFmtId="0" fontId="16" fillId="6" borderId="0" xfId="0" applyFont="1" applyFill="1" applyAlignment="1">
      <alignment horizontal="left" vertical="center"/>
    </xf>
    <xf numFmtId="0" fontId="11" fillId="8" borderId="0" xfId="0" applyFont="1" applyFill="1" applyAlignment="1">
      <alignment horizontal="left" vertical="center"/>
    </xf>
    <xf numFmtId="3" fontId="11" fillId="9" borderId="0" xfId="0" applyNumberFormat="1" applyFont="1" applyFill="1" applyAlignment="1">
      <alignment horizontal="right" vertical="center"/>
    </xf>
    <xf numFmtId="0" fontId="21" fillId="0" borderId="0" xfId="0" applyFont="1" applyAlignment="1">
      <alignment horizontal="left" vertical="center"/>
    </xf>
    <xf numFmtId="0" fontId="20" fillId="8" borderId="0" xfId="0" applyFont="1" applyFill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1" fillId="0" borderId="0" xfId="0" applyFont="1"/>
    <xf numFmtId="3" fontId="1" fillId="0" borderId="13" xfId="0" applyNumberFormat="1" applyFont="1" applyBorder="1" applyAlignment="1">
      <alignment horizontal="right" vertical="center" shrinkToFit="1"/>
    </xf>
    <xf numFmtId="3" fontId="1" fillId="0" borderId="41" xfId="0" applyNumberFormat="1" applyFont="1" applyBorder="1" applyAlignment="1">
      <alignment horizontal="right" vertical="center" shrinkToFit="1"/>
    </xf>
    <xf numFmtId="176" fontId="1" fillId="0" borderId="10" xfId="0" applyNumberFormat="1" applyFont="1" applyBorder="1" applyAlignment="1">
      <alignment horizontal="center" vertical="center" shrinkToFit="1"/>
    </xf>
    <xf numFmtId="0" fontId="0" fillId="0" borderId="54" xfId="0" applyBorder="1"/>
    <xf numFmtId="176" fontId="1" fillId="0" borderId="3" xfId="0" applyNumberFormat="1" applyFont="1" applyBorder="1" applyAlignment="1">
      <alignment horizontal="center" vertical="center" shrinkToFit="1"/>
    </xf>
    <xf numFmtId="0" fontId="0" fillId="0" borderId="4" xfId="0" applyBorder="1"/>
    <xf numFmtId="9" fontId="1" fillId="0" borderId="10" xfId="0" applyNumberFormat="1" applyFont="1" applyBorder="1" applyAlignment="1">
      <alignment horizontal="center" vertical="center" shrinkToFit="1"/>
    </xf>
    <xf numFmtId="176" fontId="8" fillId="0" borderId="0" xfId="0" applyNumberFormat="1" applyFont="1" applyAlignment="1">
      <alignment horizontal="center" vertical="center"/>
    </xf>
    <xf numFmtId="0" fontId="7" fillId="0" borderId="0" xfId="0" applyFont="1"/>
    <xf numFmtId="176" fontId="1" fillId="0" borderId="33" xfId="0" applyNumberFormat="1" applyFont="1" applyBorder="1" applyAlignment="1">
      <alignment horizontal="left" vertical="center"/>
    </xf>
    <xf numFmtId="0" fontId="0" fillId="0" borderId="34" xfId="0" applyBorder="1"/>
    <xf numFmtId="178" fontId="1" fillId="0" borderId="0" xfId="0" applyNumberFormat="1" applyFont="1" applyAlignment="1">
      <alignment horizontal="right" vertical="center"/>
    </xf>
    <xf numFmtId="176" fontId="1" fillId="0" borderId="25" xfId="0" applyNumberFormat="1" applyFont="1" applyBorder="1" applyAlignment="1">
      <alignment horizontal="center" vertical="center" shrinkToFit="1"/>
    </xf>
    <xf numFmtId="0" fontId="0" fillId="0" borderId="26" xfId="0" applyBorder="1"/>
    <xf numFmtId="3" fontId="16" fillId="6" borderId="0" xfId="0" applyNumberFormat="1" applyFont="1" applyFill="1" applyAlignment="1">
      <alignment horizontal="right" vertical="center"/>
    </xf>
    <xf numFmtId="0" fontId="0" fillId="0" borderId="0" xfId="0"/>
    <xf numFmtId="3" fontId="12" fillId="6" borderId="0" xfId="0" applyNumberFormat="1" applyFont="1" applyFill="1" applyAlignment="1">
      <alignment horizontal="right" vertical="center"/>
    </xf>
    <xf numFmtId="0" fontId="20" fillId="8" borderId="0" xfId="0" applyFont="1" applyFill="1" applyAlignment="1">
      <alignment horizontal="center" vertical="center"/>
    </xf>
    <xf numFmtId="3" fontId="17" fillId="7" borderId="0" xfId="0" applyNumberFormat="1" applyFont="1" applyFill="1" applyAlignment="1">
      <alignment horizontal="right" vertical="center"/>
    </xf>
    <xf numFmtId="0" fontId="10" fillId="5" borderId="0" xfId="0" applyFont="1" applyFill="1" applyAlignment="1">
      <alignment horizontal="left" vertical="center"/>
    </xf>
    <xf numFmtId="0" fontId="14" fillId="7" borderId="0" xfId="0" applyFont="1" applyFill="1" applyAlignment="1">
      <alignment horizontal="left" vertical="center"/>
    </xf>
    <xf numFmtId="0" fontId="20" fillId="8" borderId="0" xfId="0" applyFont="1" applyFill="1" applyAlignment="1">
      <alignment horizontal="center" vertical="center" wrapText="1"/>
    </xf>
    <xf numFmtId="2" fontId="16" fillId="6" borderId="0" xfId="0" applyNumberFormat="1" applyFont="1" applyFill="1" applyAlignment="1">
      <alignment horizontal="right" vertical="center"/>
    </xf>
    <xf numFmtId="3" fontId="11" fillId="9" borderId="0" xfId="0" applyNumberFormat="1" applyFont="1" applyFill="1" applyAlignment="1">
      <alignment horizontal="right" vertical="center"/>
    </xf>
    <xf numFmtId="3" fontId="19" fillId="7" borderId="0" xfId="0" applyNumberFormat="1" applyFont="1" applyFill="1" applyAlignment="1">
      <alignment horizontal="right" vertical="center"/>
    </xf>
    <xf numFmtId="2" fontId="19" fillId="7" borderId="0" xfId="0" applyNumberFormat="1" applyFont="1" applyFill="1" applyAlignment="1">
      <alignment horizontal="right" vertical="center"/>
    </xf>
    <xf numFmtId="3" fontId="23" fillId="9" borderId="0" xfId="0" applyNumberFormat="1" applyFont="1" applyFill="1" applyAlignment="1">
      <alignment horizontal="right" vertical="center"/>
    </xf>
    <xf numFmtId="0" fontId="12" fillId="6" borderId="0" xfId="0" applyFont="1" applyFill="1" applyAlignment="1">
      <alignment horizontal="left" vertical="center"/>
    </xf>
    <xf numFmtId="0" fontId="9" fillId="4" borderId="0" xfId="0" applyFont="1" applyFill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1</xdr:row>
      <xdr:rowOff>0</xdr:rowOff>
    </xdr:from>
    <xdr:ext cx="4381500" cy="34385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54"/>
  <sheetViews>
    <sheetView tabSelected="1" workbookViewId="0">
      <selection activeCell="C48" sqref="C48:D48"/>
    </sheetView>
  </sheetViews>
  <sheetFormatPr baseColWidth="10" defaultColWidth="8.83203125" defaultRowHeight="14"/>
  <cols>
    <col min="1" max="1" width="1.1640625" customWidth="1"/>
    <col min="2" max="2" width="26" customWidth="1"/>
    <col min="3" max="3" width="14" customWidth="1"/>
    <col min="4" max="4" width="10" customWidth="1"/>
    <col min="5" max="5" width="12" customWidth="1"/>
    <col min="6" max="7" width="14" customWidth="1"/>
    <col min="8" max="8" width="32" customWidth="1"/>
    <col min="10" max="10" width="3" customWidth="1"/>
    <col min="11" max="11" width="62" customWidth="1"/>
    <col min="12" max="12" width="3" customWidth="1"/>
  </cols>
  <sheetData>
    <row r="1" spans="2:11" ht="42" customHeight="1">
      <c r="B1" s="140" t="s">
        <v>63</v>
      </c>
      <c r="C1" s="127"/>
      <c r="D1" s="127"/>
      <c r="E1" s="127"/>
      <c r="F1" s="127"/>
      <c r="G1" s="127"/>
      <c r="H1" s="127"/>
      <c r="K1" s="93" t="s">
        <v>64</v>
      </c>
    </row>
    <row r="2" spans="2:11" ht="6" customHeight="1"/>
    <row r="3" spans="2:11" ht="22" customHeight="1">
      <c r="B3" s="131" t="s">
        <v>65</v>
      </c>
      <c r="C3" s="127"/>
      <c r="D3" s="127"/>
      <c r="E3" s="127"/>
      <c r="F3" s="127"/>
      <c r="G3" s="127"/>
      <c r="H3" s="127"/>
      <c r="I3" s="127"/>
    </row>
    <row r="4" spans="2:11" ht="22" customHeight="1">
      <c r="B4" s="94" t="s">
        <v>66</v>
      </c>
      <c r="C4" s="139"/>
      <c r="D4" s="127"/>
      <c r="E4" s="127"/>
      <c r="F4" s="127"/>
      <c r="G4" s="127"/>
      <c r="H4" s="127"/>
    </row>
    <row r="5" spans="2:11" ht="22" customHeight="1">
      <c r="B5" s="94" t="s">
        <v>67</v>
      </c>
      <c r="C5" s="139"/>
      <c r="D5" s="127"/>
      <c r="E5" s="127"/>
      <c r="F5" s="127"/>
      <c r="G5" s="127"/>
      <c r="H5" s="127"/>
    </row>
    <row r="6" spans="2:11" ht="22" customHeight="1">
      <c r="B6" s="94" t="s">
        <v>68</v>
      </c>
      <c r="C6" s="139"/>
      <c r="D6" s="127"/>
      <c r="E6" s="127"/>
      <c r="F6" s="127"/>
      <c r="G6" s="127"/>
      <c r="H6" s="127"/>
    </row>
    <row r="7" spans="2:11" ht="22" customHeight="1">
      <c r="B7" s="94" t="s">
        <v>69</v>
      </c>
      <c r="C7" s="95"/>
      <c r="D7" s="96"/>
      <c r="E7" s="97" t="s">
        <v>70</v>
      </c>
      <c r="F7" s="96"/>
      <c r="G7" s="97" t="s">
        <v>71</v>
      </c>
      <c r="H7" s="98" t="str">
        <f ca="1">IF(OR(C7="",D7=""),"",TEXT(IF(C7="西暦",D7,IF(C7="令和",2018+D7,IF(C7="平成",1988+D7,IF(C7="昭和",1925+D7,IF(C7="大正",1911+D7,D7))))),"0")&amp;"年"&amp;IF(F7="","",TEXT(F7,"0")&amp;"月")&amp;"（築"&amp;TEXT(IF(F7="",YEAR(TODAY())-(IF(C7="西暦",D7,IF(C7="令和",2018+D7,IF(C7="平成",1988+D7,IF(C7="昭和",1925+D7,IF(C7="大正",1911+D7,D7)))))),YEAR(TODAY())-(IF(C7="西暦",D7,IF(C7="令和",2018+D7,IF(C7="平成",1988+D7,IF(C7="昭和",1925+D7,IF(C7="大正",1911+D7,D7))))))-IF(MONTH(TODAY())&lt;F7,1,0)),"0")&amp;"年）")</f>
        <v/>
      </c>
    </row>
    <row r="8" spans="2:11" ht="22" customHeight="1">
      <c r="B8" s="94" t="s">
        <v>20</v>
      </c>
      <c r="C8" s="95"/>
      <c r="D8" s="139"/>
      <c r="E8" s="127"/>
      <c r="F8" s="99" t="s">
        <v>72</v>
      </c>
      <c r="G8" s="132" t="str">
        <f>IF(C8="","",C8&amp;IF(D8="","",D8))</f>
        <v/>
      </c>
      <c r="H8" s="127"/>
    </row>
    <row r="9" spans="2:11" ht="22" customHeight="1">
      <c r="B9" s="94" t="s">
        <v>12</v>
      </c>
      <c r="C9" s="96"/>
      <c r="D9" s="97" t="s">
        <v>55</v>
      </c>
    </row>
    <row r="10" spans="2:11" ht="22" customHeight="1">
      <c r="B10" s="94" t="s">
        <v>15</v>
      </c>
      <c r="C10" s="96"/>
      <c r="D10" s="97" t="s">
        <v>55</v>
      </c>
    </row>
    <row r="11" spans="2:11" ht="22" customHeight="1">
      <c r="B11" s="94" t="s">
        <v>9</v>
      </c>
      <c r="C11" s="100"/>
      <c r="D11" s="97" t="s">
        <v>73</v>
      </c>
      <c r="E11" s="101" t="str">
        <f>IFERROR(ROUND(VALUE(ASC(C11))/3.30579,2),"")</f>
        <v/>
      </c>
      <c r="F11" s="102" t="s">
        <v>74</v>
      </c>
    </row>
    <row r="12" spans="2:11" ht="22" customHeight="1">
      <c r="B12" s="94" t="s">
        <v>21</v>
      </c>
      <c r="C12" s="100"/>
      <c r="D12" s="97" t="s">
        <v>73</v>
      </c>
      <c r="E12" s="101" t="str">
        <f>IFERROR(ROUND(VALUE(ASC(C12))/3.30579,2),"")</f>
        <v/>
      </c>
      <c r="F12" s="102" t="s">
        <v>74</v>
      </c>
    </row>
    <row r="13" spans="2:11" ht="6" customHeight="1"/>
    <row r="14" spans="2:11" ht="22" customHeight="1">
      <c r="B14" s="131" t="s">
        <v>75</v>
      </c>
      <c r="C14" s="127"/>
      <c r="D14" s="127"/>
      <c r="E14" s="127"/>
      <c r="F14" s="127"/>
      <c r="G14" s="127"/>
      <c r="H14" s="127"/>
      <c r="I14" s="127"/>
    </row>
    <row r="15" spans="2:11" ht="22" customHeight="1">
      <c r="B15" s="94" t="s">
        <v>76</v>
      </c>
      <c r="C15" s="126"/>
      <c r="D15" s="127"/>
      <c r="E15" s="97" t="s">
        <v>77</v>
      </c>
      <c r="G15" s="99" t="s">
        <v>78</v>
      </c>
    </row>
    <row r="16" spans="2:11" ht="22" customHeight="1">
      <c r="B16" s="94" t="s">
        <v>79</v>
      </c>
      <c r="C16" s="126"/>
      <c r="D16" s="127"/>
      <c r="E16" s="97" t="s">
        <v>77</v>
      </c>
      <c r="G16" s="99" t="s">
        <v>80</v>
      </c>
    </row>
    <row r="17" spans="2:9" ht="22" customHeight="1">
      <c r="B17" s="94" t="s">
        <v>81</v>
      </c>
      <c r="C17" s="126"/>
      <c r="D17" s="127"/>
      <c r="E17" s="97" t="s">
        <v>77</v>
      </c>
    </row>
    <row r="18" spans="2:9" ht="24" customHeight="1">
      <c r="B18" s="94" t="s">
        <v>82</v>
      </c>
      <c r="C18" s="136" t="str">
        <f>IF(AND(C16="",C17="",C15=""),"",IF(C15&lt;&gt;"",IFERROR(VALUE(ASC(C15))*10000,0),(IFERROR(VALUE(ASC(C16)),0)+IFERROR(VALUE(ASC(C17)),0))*10000))</f>
        <v/>
      </c>
      <c r="D18" s="127"/>
      <c r="E18" s="97" t="s">
        <v>6</v>
      </c>
      <c r="G18" s="99" t="s">
        <v>83</v>
      </c>
    </row>
    <row r="19" spans="2:9" ht="6" customHeight="1"/>
    <row r="20" spans="2:9" ht="22" customHeight="1">
      <c r="B20" s="131" t="s">
        <v>84</v>
      </c>
      <c r="C20" s="127"/>
      <c r="D20" s="127"/>
      <c r="E20" s="127"/>
      <c r="F20" s="127"/>
      <c r="G20" s="127"/>
      <c r="H20" s="127"/>
      <c r="I20" s="127"/>
    </row>
    <row r="21" spans="2:9" ht="28" customHeight="1">
      <c r="B21" s="104" t="s">
        <v>16</v>
      </c>
      <c r="C21" s="104" t="s">
        <v>17</v>
      </c>
      <c r="D21" s="133" t="s">
        <v>85</v>
      </c>
      <c r="E21" s="127"/>
      <c r="F21" s="133" t="s">
        <v>86</v>
      </c>
      <c r="G21" s="127"/>
    </row>
    <row r="22" spans="2:9" ht="28" customHeight="1">
      <c r="B22" s="105"/>
      <c r="C22" s="103"/>
      <c r="D22" s="126"/>
      <c r="E22" s="127"/>
      <c r="F22" s="126"/>
      <c r="G22" s="127"/>
    </row>
    <row r="23" spans="2:9" ht="28" customHeight="1">
      <c r="B23" s="105"/>
      <c r="C23" s="103"/>
      <c r="D23" s="126"/>
      <c r="E23" s="127"/>
      <c r="F23" s="126"/>
      <c r="G23" s="127"/>
    </row>
    <row r="24" spans="2:9" ht="28" customHeight="1">
      <c r="B24" s="105"/>
      <c r="C24" s="103"/>
      <c r="D24" s="126"/>
      <c r="E24" s="127"/>
      <c r="F24" s="126"/>
      <c r="G24" s="127"/>
    </row>
    <row r="25" spans="2:9" ht="28" customHeight="1">
      <c r="B25" s="105"/>
      <c r="C25" s="103"/>
      <c r="D25" s="126"/>
      <c r="E25" s="127"/>
      <c r="F25" s="126"/>
      <c r="G25" s="127"/>
    </row>
    <row r="26" spans="2:9" ht="28" customHeight="1">
      <c r="B26" s="105"/>
      <c r="C26" s="103"/>
      <c r="D26" s="126"/>
      <c r="E26" s="127"/>
      <c r="F26" s="126"/>
      <c r="G26" s="127"/>
    </row>
    <row r="27" spans="2:9" ht="22" customHeight="1">
      <c r="B27" s="106" t="s">
        <v>87</v>
      </c>
      <c r="D27" s="135">
        <f>IFERROR(C22*D22,0)+IFERROR(C23*D23,0)+IFERROR(C24*D24,0)+IFERROR(C25*D25,0)+IFERROR(C26*D26,0)</f>
        <v>0</v>
      </c>
      <c r="E27" s="127"/>
      <c r="F27" s="108" t="s">
        <v>6</v>
      </c>
      <c r="G27" s="107">
        <f>IFERROR(C22*F22,0)+IFERROR(C23*F23,0)+IFERROR(C24*F24,0)+IFERROR(C25*F25,0)+IFERROR(C26*F26,0)</f>
        <v>0</v>
      </c>
      <c r="H27" s="108" t="s">
        <v>6</v>
      </c>
    </row>
    <row r="28" spans="2:9" ht="6" customHeight="1"/>
    <row r="29" spans="2:9" ht="22" customHeight="1">
      <c r="B29" s="131" t="s">
        <v>88</v>
      </c>
      <c r="C29" s="127"/>
      <c r="D29" s="127"/>
      <c r="E29" s="127"/>
      <c r="F29" s="127"/>
      <c r="G29" s="127"/>
      <c r="H29" s="127"/>
      <c r="I29" s="127"/>
    </row>
    <row r="30" spans="2:9" ht="18" customHeight="1">
      <c r="B30" s="109" t="s">
        <v>89</v>
      </c>
      <c r="C30" s="129" t="s">
        <v>90</v>
      </c>
      <c r="D30" s="127"/>
      <c r="F30" s="129" t="s">
        <v>91</v>
      </c>
      <c r="G30" s="127"/>
    </row>
    <row r="31" spans="2:9" ht="20" customHeight="1">
      <c r="B31" s="97" t="s">
        <v>92</v>
      </c>
      <c r="C31" s="128"/>
      <c r="D31" s="127"/>
      <c r="F31" s="130">
        <f t="shared" ref="F31:F36" si="0">C31</f>
        <v>0</v>
      </c>
      <c r="G31" s="127"/>
      <c r="H31" s="99" t="s">
        <v>93</v>
      </c>
    </row>
    <row r="32" spans="2:9" ht="20" customHeight="1">
      <c r="B32" s="97" t="s">
        <v>94</v>
      </c>
      <c r="C32" s="128"/>
      <c r="D32" s="127"/>
      <c r="F32" s="130">
        <f t="shared" si="0"/>
        <v>0</v>
      </c>
      <c r="G32" s="127"/>
      <c r="H32" s="99" t="s">
        <v>93</v>
      </c>
    </row>
    <row r="33" spans="2:9" ht="20" customHeight="1">
      <c r="B33" s="97" t="s">
        <v>95</v>
      </c>
      <c r="C33" s="128"/>
      <c r="D33" s="127"/>
      <c r="F33" s="130">
        <f t="shared" si="0"/>
        <v>0</v>
      </c>
      <c r="G33" s="127"/>
      <c r="H33" s="99" t="s">
        <v>93</v>
      </c>
    </row>
    <row r="34" spans="2:9" ht="20" customHeight="1">
      <c r="B34" s="97" t="s">
        <v>36</v>
      </c>
      <c r="C34" s="128"/>
      <c r="D34" s="127"/>
      <c r="F34" s="130">
        <f t="shared" si="0"/>
        <v>0</v>
      </c>
      <c r="G34" s="127"/>
      <c r="H34" s="99" t="s">
        <v>93</v>
      </c>
    </row>
    <row r="35" spans="2:9" ht="20" customHeight="1">
      <c r="B35" s="97" t="s">
        <v>38</v>
      </c>
      <c r="C35" s="128"/>
      <c r="D35" s="127"/>
      <c r="F35" s="130">
        <f t="shared" si="0"/>
        <v>0</v>
      </c>
      <c r="G35" s="127"/>
      <c r="H35" s="99" t="s">
        <v>93</v>
      </c>
    </row>
    <row r="36" spans="2:9" ht="20" customHeight="1">
      <c r="B36" s="97" t="s">
        <v>40</v>
      </c>
      <c r="C36" s="128"/>
      <c r="D36" s="127"/>
      <c r="F36" s="130">
        <f t="shared" si="0"/>
        <v>0</v>
      </c>
      <c r="G36" s="127"/>
      <c r="H36" s="99" t="s">
        <v>93</v>
      </c>
    </row>
    <row r="37" spans="2:9" ht="20" customHeight="1">
      <c r="B37" s="97" t="s">
        <v>42</v>
      </c>
      <c r="C37" s="130" t="str">
        <f>IF(ISNUMBER(C18),ROUND((C18*0.03+60000)*1.1,0),"")</f>
        <v/>
      </c>
      <c r="D37" s="127"/>
      <c r="F37" s="130" t="str">
        <f>IF(ISNUMBER(C18),ROUND((C18*0.03+60000)*1.1,0),"")</f>
        <v/>
      </c>
      <c r="G37" s="127"/>
      <c r="H37" s="99" t="s">
        <v>96</v>
      </c>
    </row>
    <row r="38" spans="2:9" ht="20" customHeight="1">
      <c r="B38" s="97" t="s">
        <v>97</v>
      </c>
      <c r="C38" s="128"/>
      <c r="D38" s="127"/>
      <c r="F38" s="130" t="str">
        <f>IFERROR(VALUE(ASC(C38))*5,"")</f>
        <v/>
      </c>
      <c r="G38" s="127"/>
      <c r="H38" s="99" t="s">
        <v>98</v>
      </c>
    </row>
    <row r="39" spans="2:9" ht="20" customHeight="1">
      <c r="B39" s="97" t="s">
        <v>45</v>
      </c>
      <c r="C39" s="130" t="str">
        <f>IF(ISNUMBER(C18),ROUND(C18*IF(C8="木造",0.015,IF(C8="鉄骨造",0.02,IF(C8="鉄筋コンクリート",0.025,0.03))),0),"")</f>
        <v/>
      </c>
      <c r="D39" s="127"/>
      <c r="F39" s="130" t="str">
        <f>IF(ISNUMBER(C18),ROUND(C18*IF(C8="木造",0.015,IF(C8="鉄骨造",0.02,IF(C8="鉄筋コンクリート",0.025,0.03))),0),"")</f>
        <v/>
      </c>
      <c r="G39" s="127"/>
      <c r="H39" s="99" t="s">
        <v>99</v>
      </c>
    </row>
    <row r="40" spans="2:9" ht="20" customHeight="1">
      <c r="B40" s="97" t="s">
        <v>100</v>
      </c>
      <c r="C40" s="128"/>
      <c r="D40" s="127"/>
      <c r="F40" s="130">
        <f>C40</f>
        <v>0</v>
      </c>
      <c r="G40" s="127"/>
      <c r="H40" s="99" t="s">
        <v>93</v>
      </c>
    </row>
    <row r="41" spans="2:9" ht="20" customHeight="1">
      <c r="B41" s="94" t="s">
        <v>47</v>
      </c>
      <c r="C41" s="135">
        <f>SUM(C31:C40)</f>
        <v>0</v>
      </c>
      <c r="D41" s="127"/>
      <c r="E41" s="108" t="s">
        <v>6</v>
      </c>
      <c r="F41" s="135">
        <f>SUM(F31:F40)</f>
        <v>0</v>
      </c>
      <c r="G41" s="127"/>
      <c r="H41" s="108" t="s">
        <v>6</v>
      </c>
    </row>
    <row r="42" spans="2:9" ht="6" customHeight="1"/>
    <row r="43" spans="2:9" ht="22" customHeight="1">
      <c r="B43" s="131" t="s">
        <v>101</v>
      </c>
      <c r="C43" s="127"/>
      <c r="D43" s="127"/>
      <c r="E43" s="127"/>
      <c r="F43" s="127"/>
      <c r="G43" s="127"/>
      <c r="H43" s="127"/>
      <c r="I43" s="127"/>
    </row>
    <row r="44" spans="2:9" ht="18" customHeight="1">
      <c r="B44" s="109" t="s">
        <v>102</v>
      </c>
      <c r="C44" s="129" t="s">
        <v>103</v>
      </c>
      <c r="D44" s="127"/>
      <c r="F44" s="129" t="s">
        <v>104</v>
      </c>
      <c r="G44" s="127"/>
    </row>
    <row r="45" spans="2:9" ht="20" customHeight="1">
      <c r="B45" s="110" t="s">
        <v>105</v>
      </c>
      <c r="C45" s="126"/>
      <c r="D45" s="127"/>
      <c r="E45" s="111" t="s">
        <v>77</v>
      </c>
      <c r="F45" s="136">
        <f>C45</f>
        <v>0</v>
      </c>
      <c r="G45" s="127"/>
      <c r="H45" s="111" t="s">
        <v>77</v>
      </c>
      <c r="I45" s="99" t="s">
        <v>106</v>
      </c>
    </row>
    <row r="46" spans="2:9" ht="20" customHeight="1">
      <c r="B46" s="110" t="s">
        <v>107</v>
      </c>
      <c r="C46" s="126"/>
      <c r="D46" s="127"/>
      <c r="E46" s="111" t="s">
        <v>70</v>
      </c>
      <c r="F46" s="136">
        <f>C46</f>
        <v>0</v>
      </c>
      <c r="G46" s="127"/>
      <c r="H46" s="111" t="s">
        <v>70</v>
      </c>
      <c r="I46" s="99" t="s">
        <v>106</v>
      </c>
    </row>
    <row r="47" spans="2:9" ht="20" customHeight="1">
      <c r="B47" s="110" t="s">
        <v>108</v>
      </c>
      <c r="C47" s="134"/>
      <c r="D47" s="127"/>
      <c r="E47" s="111" t="s">
        <v>62</v>
      </c>
      <c r="F47" s="137">
        <f>C47</f>
        <v>0</v>
      </c>
      <c r="G47" s="127"/>
      <c r="H47" s="111" t="s">
        <v>62</v>
      </c>
      <c r="I47" s="99" t="s">
        <v>109</v>
      </c>
    </row>
    <row r="48" spans="2:9" ht="22" customHeight="1">
      <c r="B48" s="94" t="s">
        <v>110</v>
      </c>
      <c r="C48" s="138">
        <f>IF(OR(NOT(ISNUMBER(IFERROR(VALUE(C45)*10000,0))),NOT(ISNUMBER(IFERROR(VALUE(C46),""))),NOT(ISNUMBER(IFERROR(IF(VALUE(C47)&gt;1,VALUE(C47)/100,VALUE(C47)),""))),IFERROR(VALUE(C45)*10000,0)=0),0,ROUND(PMT(IFERROR(IF(VALUE(C47)&gt;1,VALUE(C47)/100,VALUE(C47)),"")/12,IFERROR(VALUE(C46),"")*12,-IFERROR(VALUE(C45)*10000,0)),0))</f>
        <v>0</v>
      </c>
      <c r="D48" s="127"/>
      <c r="E48" s="108" t="s">
        <v>6</v>
      </c>
      <c r="F48" s="138">
        <f>C48</f>
        <v>0</v>
      </c>
      <c r="G48" s="127"/>
      <c r="H48" s="108" t="s">
        <v>6</v>
      </c>
    </row>
    <row r="49" spans="2:9" ht="6" customHeight="1"/>
    <row r="50" spans="2:9" ht="22" customHeight="1">
      <c r="B50" s="131" t="s">
        <v>111</v>
      </c>
      <c r="C50" s="127"/>
      <c r="D50" s="127"/>
      <c r="E50" s="127"/>
      <c r="F50" s="127"/>
      <c r="G50" s="127"/>
      <c r="H50" s="127"/>
      <c r="I50" s="127"/>
    </row>
    <row r="51" spans="2:9" ht="20" customHeight="1">
      <c r="B51" s="110" t="s">
        <v>37</v>
      </c>
      <c r="C51" s="130">
        <f>IFERROR(ROUND(D27*0.05*1.1,0),"")</f>
        <v>0</v>
      </c>
      <c r="D51" s="127"/>
      <c r="E51" s="127"/>
      <c r="F51" s="108" t="s">
        <v>112</v>
      </c>
      <c r="G51" s="99" t="s">
        <v>113</v>
      </c>
    </row>
    <row r="52" spans="2:9" ht="20" customHeight="1">
      <c r="B52" s="110" t="s">
        <v>114</v>
      </c>
      <c r="C52" s="126"/>
      <c r="D52" s="127"/>
      <c r="E52" s="127"/>
      <c r="F52" s="108" t="s">
        <v>112</v>
      </c>
    </row>
    <row r="53" spans="2:9" ht="20" customHeight="1">
      <c r="B53" s="110" t="s">
        <v>115</v>
      </c>
      <c r="C53" s="126"/>
      <c r="D53" s="127"/>
      <c r="E53" s="127"/>
      <c r="F53" s="108" t="s">
        <v>112</v>
      </c>
    </row>
    <row r="54" spans="2:9" ht="20" customHeight="1">
      <c r="B54" s="110" t="s">
        <v>116</v>
      </c>
      <c r="C54" s="126"/>
      <c r="D54" s="127"/>
      <c r="E54" s="127"/>
      <c r="F54" s="108" t="s">
        <v>77</v>
      </c>
    </row>
  </sheetData>
  <mergeCells count="67">
    <mergeCell ref="B1:H1"/>
    <mergeCell ref="F48:G48"/>
    <mergeCell ref="C5:H5"/>
    <mergeCell ref="B20:I20"/>
    <mergeCell ref="D23:E23"/>
    <mergeCell ref="C37:D37"/>
    <mergeCell ref="C4:H4"/>
    <mergeCell ref="C18:D18"/>
    <mergeCell ref="D26:E26"/>
    <mergeCell ref="F44:G44"/>
    <mergeCell ref="D8:E8"/>
    <mergeCell ref="D25:E25"/>
    <mergeCell ref="C6:H6"/>
    <mergeCell ref="F37:G37"/>
    <mergeCell ref="F39:G39"/>
    <mergeCell ref="C32:D32"/>
    <mergeCell ref="D24:E24"/>
    <mergeCell ref="C38:D38"/>
    <mergeCell ref="F47:G47"/>
    <mergeCell ref="B29:I29"/>
    <mergeCell ref="F38:G38"/>
    <mergeCell ref="C53:E53"/>
    <mergeCell ref="F23:G23"/>
    <mergeCell ref="F31:G31"/>
    <mergeCell ref="C36:D36"/>
    <mergeCell ref="F46:G46"/>
    <mergeCell ref="C48:D48"/>
    <mergeCell ref="C39:D39"/>
    <mergeCell ref="B50:I50"/>
    <mergeCell ref="F33:G33"/>
    <mergeCell ref="F45:G45"/>
    <mergeCell ref="C44:D44"/>
    <mergeCell ref="B14:I14"/>
    <mergeCell ref="F36:G36"/>
    <mergeCell ref="F32:G32"/>
    <mergeCell ref="C40:D40"/>
    <mergeCell ref="F26:G26"/>
    <mergeCell ref="C31:D31"/>
    <mergeCell ref="F41:G41"/>
    <mergeCell ref="F35:G35"/>
    <mergeCell ref="F22:G22"/>
    <mergeCell ref="C17:D17"/>
    <mergeCell ref="F25:G25"/>
    <mergeCell ref="F34:G34"/>
    <mergeCell ref="B3:I3"/>
    <mergeCell ref="C45:D45"/>
    <mergeCell ref="D22:E22"/>
    <mergeCell ref="G8:H8"/>
    <mergeCell ref="F40:G40"/>
    <mergeCell ref="C35:D35"/>
    <mergeCell ref="D21:E21"/>
    <mergeCell ref="B43:I43"/>
    <mergeCell ref="F21:G21"/>
    <mergeCell ref="F24:G24"/>
    <mergeCell ref="F30:G30"/>
    <mergeCell ref="C16:D16"/>
    <mergeCell ref="D27:E27"/>
    <mergeCell ref="C41:D41"/>
    <mergeCell ref="C54:E54"/>
    <mergeCell ref="C34:D34"/>
    <mergeCell ref="C30:D30"/>
    <mergeCell ref="C15:D15"/>
    <mergeCell ref="C33:D33"/>
    <mergeCell ref="C51:E51"/>
    <mergeCell ref="C47:D47"/>
    <mergeCell ref="C52:E52"/>
    <mergeCell ref="C46:D46"/>
  </mergeCells>
  <phoneticPr fontId="6"/>
  <dataValidations count="2">
    <dataValidation type="list" allowBlank="1" sqref="C7" xr:uid="{00000000-0002-0000-0000-000000000000}">
      <formula1>"西暦,令和,平成,昭和,大正"</formula1>
    </dataValidation>
    <dataValidation type="list" allowBlank="1" sqref="C8" xr:uid="{00000000-0002-0000-0000-000001000000}">
      <formula1>"木造,鉄骨造,鉄筋コンクリート"</formula1>
    </dataValidation>
  </dataValidation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N46"/>
  <sheetViews>
    <sheetView showGridLines="0" workbookViewId="0">
      <selection activeCell="G22" sqref="G22"/>
    </sheetView>
  </sheetViews>
  <sheetFormatPr baseColWidth="10" defaultColWidth="8.83203125" defaultRowHeight="14"/>
  <cols>
    <col min="1" max="1" width="0.6640625" customWidth="1"/>
    <col min="2" max="2" width="26.5" customWidth="1"/>
    <col min="3" max="3" width="21.83203125" customWidth="1"/>
    <col min="4" max="4" width="4.1640625" customWidth="1"/>
    <col min="5" max="5" width="3.5" customWidth="1"/>
    <col min="6" max="6" width="14.1640625" customWidth="1"/>
    <col min="7" max="7" width="5" customWidth="1"/>
    <col min="8" max="8" width="16" customWidth="1"/>
    <col min="9" max="9" width="14" customWidth="1"/>
    <col min="10" max="10" width="10.5" customWidth="1"/>
    <col min="11" max="11" width="16.83203125" customWidth="1"/>
    <col min="12" max="12" width="5.5" customWidth="1"/>
    <col min="13" max="13" width="18.83203125" customWidth="1"/>
    <col min="14" max="14" width="14" customWidth="1"/>
    <col min="15" max="15" width="9" customWidth="1"/>
  </cols>
  <sheetData>
    <row r="1" spans="2:14" ht="17" customHeight="1">
      <c r="H1" s="123">
        <f ca="1">TODAY()</f>
        <v>46134</v>
      </c>
      <c r="I1" s="127"/>
    </row>
    <row r="2" spans="2:14" ht="30.75" customHeight="1">
      <c r="B2" s="119" t="s">
        <v>0</v>
      </c>
      <c r="C2" s="127"/>
      <c r="D2" s="127"/>
      <c r="E2" s="127"/>
      <c r="F2" s="127"/>
      <c r="G2" s="127"/>
      <c r="H2" s="127"/>
      <c r="I2" s="127"/>
    </row>
    <row r="4" spans="2:14" ht="17" customHeight="1">
      <c r="B4" s="76">
        <f>入力シート!C4</f>
        <v>0</v>
      </c>
      <c r="C4" s="1" t="s">
        <v>1</v>
      </c>
    </row>
    <row r="5" spans="2:14" ht="18" customHeight="1" thickBot="1">
      <c r="B5" s="2" t="s">
        <v>2</v>
      </c>
      <c r="F5" s="9" t="s">
        <v>3</v>
      </c>
      <c r="G5" s="61"/>
      <c r="H5" s="61"/>
      <c r="I5" s="61"/>
      <c r="J5" s="61"/>
      <c r="K5" s="61"/>
      <c r="L5" s="61"/>
      <c r="M5" s="61"/>
      <c r="N5" s="61"/>
    </row>
    <row r="6" spans="2:14" ht="17" customHeight="1">
      <c r="B6" s="32" t="s">
        <v>4</v>
      </c>
      <c r="C6" s="116">
        <f>入力シート!C5</f>
        <v>0</v>
      </c>
      <c r="D6" s="117"/>
      <c r="E6" s="61"/>
      <c r="F6" s="33" t="s">
        <v>5</v>
      </c>
      <c r="G6" s="3"/>
      <c r="H6" s="4">
        <f>C31</f>
        <v>0</v>
      </c>
      <c r="I6" s="34" t="s">
        <v>6</v>
      </c>
      <c r="J6" s="61"/>
      <c r="K6" s="61"/>
      <c r="L6" s="61"/>
      <c r="M6" s="61"/>
      <c r="N6" s="61"/>
    </row>
    <row r="7" spans="2:14" ht="17" customHeight="1">
      <c r="B7" s="35" t="s">
        <v>7</v>
      </c>
      <c r="C7" s="114">
        <f>入力シート!C6</f>
        <v>0</v>
      </c>
      <c r="D7" s="115"/>
      <c r="E7" s="61"/>
      <c r="F7" s="36" t="s">
        <v>117</v>
      </c>
      <c r="G7" s="5"/>
      <c r="H7" s="77">
        <f>IFERROR(入力シート!C54*10000,0)</f>
        <v>0</v>
      </c>
      <c r="I7" s="37" t="s">
        <v>6</v>
      </c>
      <c r="J7" s="61"/>
      <c r="K7" s="61"/>
      <c r="L7" s="61"/>
      <c r="M7" s="61"/>
      <c r="N7" s="61"/>
    </row>
    <row r="8" spans="2:14" ht="18" customHeight="1" thickBot="1">
      <c r="B8" s="35" t="s">
        <v>9</v>
      </c>
      <c r="C8" s="114" t="str">
        <f>IF(ISNUMBER(入力シート!C11),TEXT(入力シート!C11,"0.00")&amp;"㎡ ("&amp;TEXT(入力シート!E11,"0.00")&amp;"坪)","")</f>
        <v/>
      </c>
      <c r="D8" s="115"/>
      <c r="E8" s="61"/>
      <c r="F8" s="38" t="s">
        <v>8</v>
      </c>
      <c r="G8" s="6"/>
      <c r="H8" s="78">
        <f>IFERROR(入力シート!C45*10000,0)</f>
        <v>0</v>
      </c>
      <c r="I8" s="39" t="s">
        <v>6</v>
      </c>
      <c r="J8" s="61"/>
      <c r="K8" s="61"/>
      <c r="L8" s="61"/>
      <c r="M8" s="61"/>
      <c r="N8" s="61"/>
    </row>
    <row r="9" spans="2:14" ht="19" customHeight="1" thickTop="1" thickBot="1">
      <c r="B9" s="35" t="s">
        <v>11</v>
      </c>
      <c r="C9" s="114" t="str">
        <f ca="1">入力シート!H7</f>
        <v/>
      </c>
      <c r="D9" s="115"/>
      <c r="E9" s="61"/>
      <c r="F9" s="40" t="s">
        <v>10</v>
      </c>
      <c r="G9" s="7"/>
      <c r="H9" s="8">
        <f>SUM(H6:H8)</f>
        <v>0</v>
      </c>
      <c r="I9" s="41" t="s">
        <v>6</v>
      </c>
      <c r="J9" s="61"/>
      <c r="K9" s="61"/>
      <c r="L9" s="61"/>
      <c r="M9" s="61"/>
      <c r="N9" s="61"/>
    </row>
    <row r="10" spans="2:14" ht="17" customHeight="1">
      <c r="B10" s="35" t="s">
        <v>12</v>
      </c>
      <c r="C10" s="118" t="str">
        <f>IF(入力シート!C9="","",入力シート!C9&amp;"%")</f>
        <v/>
      </c>
      <c r="D10" s="115"/>
      <c r="E10" s="61"/>
      <c r="F10" s="9"/>
      <c r="G10" s="9"/>
      <c r="H10" s="10"/>
      <c r="I10" s="10"/>
      <c r="J10" s="61"/>
      <c r="K10" s="61"/>
      <c r="L10" s="61"/>
      <c r="M10" s="61"/>
      <c r="N10" s="61"/>
    </row>
    <row r="11" spans="2:14" ht="17" customHeight="1">
      <c r="B11" s="35" t="s">
        <v>15</v>
      </c>
      <c r="C11" s="118" t="str">
        <f>IF(入力シート!C10="","",入力シート!C10&amp;"%")</f>
        <v/>
      </c>
      <c r="D11" s="115"/>
      <c r="E11" s="61"/>
      <c r="F11" s="9" t="s">
        <v>118</v>
      </c>
      <c r="G11" s="9"/>
      <c r="H11" s="10">
        <f>SUM(H6:H7)</f>
        <v>0</v>
      </c>
      <c r="I11" s="61"/>
      <c r="J11" s="61"/>
      <c r="K11" s="61"/>
      <c r="L11" s="61"/>
      <c r="M11" s="61"/>
      <c r="N11" s="61"/>
    </row>
    <row r="12" spans="2:14" ht="18" customHeight="1" thickBot="1">
      <c r="B12" s="35" t="s">
        <v>20</v>
      </c>
      <c r="C12" s="114" t="str">
        <f>入力シート!G8</f>
        <v/>
      </c>
      <c r="D12" s="115"/>
      <c r="E12" s="61"/>
      <c r="F12" s="9" t="s">
        <v>13</v>
      </c>
      <c r="G12" s="61"/>
      <c r="H12" s="61"/>
      <c r="I12" s="61"/>
      <c r="J12" s="61"/>
      <c r="K12" s="9" t="s">
        <v>14</v>
      </c>
      <c r="L12" s="61"/>
      <c r="M12" s="61"/>
      <c r="N12" s="61"/>
    </row>
    <row r="13" spans="2:14" ht="17" customHeight="1" thickBot="1">
      <c r="B13" s="43" t="s">
        <v>21</v>
      </c>
      <c r="C13" s="124" t="str">
        <f>IF(ISNUMBER(入力シート!C12),TEXT(入力シート!C12,"0.00")&amp;"㎡ ("&amp;TEXT(入力シート!E12,"0.00")&amp;"坪)","")</f>
        <v/>
      </c>
      <c r="D13" s="125"/>
      <c r="E13" s="61"/>
      <c r="F13" s="32" t="s">
        <v>16</v>
      </c>
      <c r="G13" s="62" t="s">
        <v>17</v>
      </c>
      <c r="H13" s="62" t="s">
        <v>18</v>
      </c>
      <c r="I13" s="42" t="s">
        <v>19</v>
      </c>
      <c r="J13" s="61"/>
      <c r="K13" s="32" t="s">
        <v>16</v>
      </c>
      <c r="L13" s="62" t="s">
        <v>17</v>
      </c>
      <c r="M13" s="62" t="s">
        <v>18</v>
      </c>
      <c r="N13" s="42" t="s">
        <v>19</v>
      </c>
    </row>
    <row r="14" spans="2:14" ht="18" customHeight="1">
      <c r="B14" s="3"/>
      <c r="C14" s="63"/>
      <c r="D14" s="63"/>
      <c r="E14" s="61"/>
      <c r="F14" s="79">
        <f>入力シート!B22</f>
        <v>0</v>
      </c>
      <c r="G14" s="80">
        <f>入力シート!C22</f>
        <v>0</v>
      </c>
      <c r="H14" s="80">
        <f>入力シート!D22</f>
        <v>0</v>
      </c>
      <c r="I14" s="11">
        <f>IFERROR(G14*H14,0)</f>
        <v>0</v>
      </c>
      <c r="J14" s="61"/>
      <c r="K14" s="79">
        <f>入力シート!B22</f>
        <v>0</v>
      </c>
      <c r="L14" s="80">
        <f>入力シート!C22</f>
        <v>0</v>
      </c>
      <c r="M14" s="80">
        <f>入力シート!F22</f>
        <v>0</v>
      </c>
      <c r="N14" s="11">
        <f>IFERROR(L14*M14,0)</f>
        <v>0</v>
      </c>
    </row>
    <row r="15" spans="2:14" ht="18" customHeight="1" thickBot="1">
      <c r="B15" s="9" t="s">
        <v>22</v>
      </c>
      <c r="C15" s="61"/>
      <c r="D15" s="61"/>
      <c r="E15" s="61"/>
      <c r="F15" s="81">
        <f>入力シート!B23</f>
        <v>0</v>
      </c>
      <c r="G15" s="82">
        <f>入力シート!C23</f>
        <v>0</v>
      </c>
      <c r="H15" s="82">
        <f>入力シート!D23</f>
        <v>0</v>
      </c>
      <c r="I15" s="11">
        <f>IFERROR(G15*H15,0)</f>
        <v>0</v>
      </c>
      <c r="J15" s="61"/>
      <c r="K15" s="81">
        <f>入力シート!B23</f>
        <v>0</v>
      </c>
      <c r="L15" s="82">
        <f>入力シート!C23</f>
        <v>0</v>
      </c>
      <c r="M15" s="82">
        <f>入力シート!F23</f>
        <v>0</v>
      </c>
      <c r="N15" s="11">
        <f>IFERROR(L15*M15,0)</f>
        <v>0</v>
      </c>
    </row>
    <row r="16" spans="2:14" ht="19" customHeight="1" thickTop="1" thickBot="1">
      <c r="B16" s="32" t="str">
        <f>IF(OR(入力シート!C16&lt;&gt;"",入力シート!C17&lt;&gt;""),"","土地建物売買価格")</f>
        <v>土地建物売買価格</v>
      </c>
      <c r="C16" s="83" t="str">
        <f>IF(OR(入力シート!C16&lt;&gt;"",入力シート!C17&lt;&gt;""),"",入力シート!C18)</f>
        <v/>
      </c>
      <c r="D16" s="44" t="str">
        <f>IF(OR(入力シート!C16&lt;&gt;"",入力シート!C17&lt;&gt;""),"","円")</f>
        <v>円</v>
      </c>
      <c r="E16" s="61"/>
      <c r="F16" s="67" t="s">
        <v>10</v>
      </c>
      <c r="G16" s="68"/>
      <c r="H16" s="69">
        <f>SUM(I14:I15)</f>
        <v>0</v>
      </c>
      <c r="I16" s="70" t="s">
        <v>6</v>
      </c>
      <c r="J16" s="61"/>
      <c r="K16" s="67" t="s">
        <v>10</v>
      </c>
      <c r="L16" s="68"/>
      <c r="M16" s="69">
        <f>SUM(N14:N15)</f>
        <v>0</v>
      </c>
      <c r="N16" s="70" t="s">
        <v>6</v>
      </c>
    </row>
    <row r="17" spans="2:14" ht="17" customHeight="1">
      <c r="B17" s="35" t="str">
        <f>IF(入力シート!C15&lt;&gt;"","","土地売買価格")</f>
        <v>土地売買価格</v>
      </c>
      <c r="C17" s="112">
        <f>IF(入力シート!C15&lt;&gt;"","",IFERROR(入力シート!C16*10000,""))</f>
        <v>0</v>
      </c>
      <c r="D17" s="45" t="str">
        <f>IF(入力シート!C15&lt;&gt;"","","円")</f>
        <v>円</v>
      </c>
      <c r="E17" s="61"/>
      <c r="F17" s="72"/>
      <c r="G17" s="72"/>
      <c r="H17" s="72"/>
      <c r="I17" s="72"/>
      <c r="J17" s="61"/>
      <c r="K17" s="72"/>
      <c r="L17" s="72"/>
      <c r="M17" s="72"/>
      <c r="N17" s="72"/>
    </row>
    <row r="18" spans="2:14" ht="17" customHeight="1" thickBot="1">
      <c r="B18" s="46" t="str">
        <f>IF(入力シート!C15&lt;&gt;"","","建物売買価格")</f>
        <v>建物売買価格</v>
      </c>
      <c r="C18" s="113">
        <f>IF(入力シート!C15&lt;&gt;"","",IFERROR(入力シート!C17*10000,""))</f>
        <v>0</v>
      </c>
      <c r="D18" s="15" t="str">
        <f>IF(入力シート!C15&lt;&gt;"","","円")</f>
        <v>円</v>
      </c>
      <c r="E18" s="61"/>
      <c r="F18" s="9" t="s">
        <v>23</v>
      </c>
      <c r="G18" s="61"/>
      <c r="H18" s="73"/>
      <c r="I18" s="73"/>
      <c r="J18" s="61"/>
      <c r="K18" s="9" t="s">
        <v>23</v>
      </c>
      <c r="L18" s="61"/>
      <c r="M18" s="73"/>
      <c r="N18" s="73"/>
    </row>
    <row r="19" spans="2:14" ht="17" customHeight="1" thickTop="1" thickBot="1">
      <c r="B19" s="47" t="s">
        <v>27</v>
      </c>
      <c r="C19" s="12" t="str">
        <f>C16</f>
        <v/>
      </c>
      <c r="D19" s="29" t="s">
        <v>6</v>
      </c>
      <c r="E19" s="61"/>
      <c r="F19" s="74" t="s">
        <v>24</v>
      </c>
      <c r="G19" s="75"/>
      <c r="H19" s="71" t="s">
        <v>25</v>
      </c>
      <c r="I19" s="52" t="s">
        <v>26</v>
      </c>
      <c r="J19" s="61"/>
      <c r="K19" s="74" t="s">
        <v>24</v>
      </c>
      <c r="L19" s="75"/>
      <c r="M19" s="71" t="s">
        <v>25</v>
      </c>
      <c r="N19" s="52" t="s">
        <v>26</v>
      </c>
    </row>
    <row r="20" spans="2:14" ht="19" customHeight="1">
      <c r="B20" s="10"/>
      <c r="C20" s="61"/>
      <c r="D20" s="61"/>
      <c r="E20" s="61"/>
      <c r="F20" s="84" t="str">
        <f>IF(ISNUMBER(IFERROR(VALUE(ASC(入力シート!C46)),"")),"銀行融資"&amp;入力シート!C46&amp;"年","")</f>
        <v/>
      </c>
      <c r="G20" s="5"/>
      <c r="H20" s="85" t="str">
        <f>IF(ISNUMBER(入力シート!C47),"変動"&amp;TEXT(IF(入力シート!C47&gt;1,入力シート!C47/100,入力シート!C47),"0.00%"),"")</f>
        <v/>
      </c>
      <c r="I20" s="86">
        <f>入力シート!C48</f>
        <v>0</v>
      </c>
      <c r="J20" s="13"/>
      <c r="K20" s="84" t="str">
        <f>IF(ISNUMBER(IFERROR(VALUE(ASC(入力シート!C46)),"")),"銀行融資"&amp;入力シート!C46&amp;"年","")</f>
        <v/>
      </c>
      <c r="L20" s="5"/>
      <c r="M20" s="85" t="str">
        <f>IF(ISNUMBER(入力シート!C47),"変動"&amp;TEXT(IF(入力シート!C47&gt;1,入力シート!C47/100,入力シート!C47),"0.00%"),"")</f>
        <v/>
      </c>
      <c r="N20" s="86">
        <f>入力シート!C48</f>
        <v>0</v>
      </c>
    </row>
    <row r="21" spans="2:14" ht="17" customHeight="1" thickBot="1">
      <c r="B21" s="9" t="s">
        <v>29</v>
      </c>
      <c r="C21" s="61"/>
      <c r="D21" s="61"/>
      <c r="E21" s="61"/>
      <c r="F21" s="121" t="s">
        <v>28</v>
      </c>
      <c r="G21" s="122"/>
      <c r="H21" s="14"/>
      <c r="I21" s="15"/>
      <c r="J21" s="61"/>
      <c r="K21" s="121" t="s">
        <v>28</v>
      </c>
      <c r="L21" s="122"/>
      <c r="M21" s="14"/>
      <c r="N21" s="15"/>
    </row>
    <row r="22" spans="2:14" ht="18" customHeight="1" thickTop="1" thickBot="1">
      <c r="B22" s="49" t="s">
        <v>30</v>
      </c>
      <c r="C22" s="87">
        <f>入力シート!C31</f>
        <v>0</v>
      </c>
      <c r="D22" s="34" t="s">
        <v>6</v>
      </c>
      <c r="E22" s="61"/>
      <c r="F22" s="50" t="s">
        <v>10</v>
      </c>
      <c r="G22" s="16"/>
      <c r="H22" s="17">
        <f>I20</f>
        <v>0</v>
      </c>
      <c r="I22" s="29" t="s">
        <v>6</v>
      </c>
      <c r="J22" s="61"/>
      <c r="K22" s="50" t="s">
        <v>10</v>
      </c>
      <c r="L22" s="16"/>
      <c r="M22" s="17">
        <f>N20</f>
        <v>0</v>
      </c>
      <c r="N22" s="29" t="s">
        <v>6</v>
      </c>
    </row>
    <row r="23" spans="2:14" ht="19" customHeight="1">
      <c r="B23" s="51" t="s">
        <v>32</v>
      </c>
      <c r="C23" s="88">
        <f>入力シート!C32</f>
        <v>0</v>
      </c>
      <c r="D23" s="37" t="s">
        <v>6</v>
      </c>
      <c r="E23" s="61"/>
      <c r="F23" s="19"/>
      <c r="G23" s="61"/>
      <c r="H23" s="61"/>
      <c r="I23" s="61"/>
      <c r="J23" s="61"/>
      <c r="K23" s="19"/>
      <c r="L23" s="61"/>
      <c r="M23" s="61"/>
      <c r="N23" s="61"/>
    </row>
    <row r="24" spans="2:14" ht="17" customHeight="1" thickBot="1">
      <c r="B24" s="51" t="s">
        <v>34</v>
      </c>
      <c r="C24" s="89">
        <f>入力シート!C33</f>
        <v>0</v>
      </c>
      <c r="D24" s="52" t="s">
        <v>6</v>
      </c>
      <c r="E24" s="61"/>
      <c r="F24" s="9" t="s">
        <v>31</v>
      </c>
      <c r="G24" s="61"/>
      <c r="H24" s="61"/>
      <c r="I24" s="61"/>
      <c r="J24" s="61"/>
      <c r="K24" s="9" t="s">
        <v>31</v>
      </c>
      <c r="L24" s="61"/>
      <c r="M24" s="61"/>
      <c r="N24" s="61"/>
    </row>
    <row r="25" spans="2:14" ht="18" customHeight="1">
      <c r="B25" s="51" t="s">
        <v>36</v>
      </c>
      <c r="C25" s="88">
        <f>入力シート!C34</f>
        <v>0</v>
      </c>
      <c r="D25" s="37" t="s">
        <v>6</v>
      </c>
      <c r="E25" s="61"/>
      <c r="F25" s="33" t="s">
        <v>33</v>
      </c>
      <c r="G25" s="3"/>
      <c r="H25" s="20">
        <f>H16</f>
        <v>0</v>
      </c>
      <c r="I25" s="34" t="s">
        <v>6</v>
      </c>
      <c r="J25" s="61"/>
      <c r="K25" s="33" t="s">
        <v>33</v>
      </c>
      <c r="L25" s="3"/>
      <c r="M25" s="20">
        <f>M16</f>
        <v>0</v>
      </c>
      <c r="N25" s="34" t="s">
        <v>6</v>
      </c>
    </row>
    <row r="26" spans="2:14" ht="17" customHeight="1">
      <c r="B26" s="51" t="s">
        <v>38</v>
      </c>
      <c r="C26" s="88">
        <f>入力シート!C35</f>
        <v>0</v>
      </c>
      <c r="D26" s="37" t="s">
        <v>6</v>
      </c>
      <c r="E26" s="61"/>
      <c r="F26" s="36" t="s">
        <v>35</v>
      </c>
      <c r="G26" s="5"/>
      <c r="H26" s="18">
        <f>H22</f>
        <v>0</v>
      </c>
      <c r="I26" s="37" t="s">
        <v>6</v>
      </c>
      <c r="J26" s="61"/>
      <c r="K26" s="36" t="s">
        <v>35</v>
      </c>
      <c r="L26" s="5"/>
      <c r="M26" s="18">
        <f>M22</f>
        <v>0</v>
      </c>
      <c r="N26" s="37" t="s">
        <v>6</v>
      </c>
    </row>
    <row r="27" spans="2:14" ht="17" customHeight="1">
      <c r="B27" s="51" t="s">
        <v>40</v>
      </c>
      <c r="C27" s="90">
        <f>入力シート!C36</f>
        <v>0</v>
      </c>
      <c r="D27" s="52" t="s">
        <v>6</v>
      </c>
      <c r="E27" s="61"/>
      <c r="F27" s="36" t="s">
        <v>37</v>
      </c>
      <c r="G27" s="5"/>
      <c r="H27" s="18">
        <f>IFERROR(ROUND(H25*0.05*1.1,0),0)</f>
        <v>0</v>
      </c>
      <c r="I27" s="37" t="s">
        <v>6</v>
      </c>
      <c r="J27" s="61"/>
      <c r="K27" s="36" t="s">
        <v>37</v>
      </c>
      <c r="L27" s="5"/>
      <c r="M27" s="18">
        <f>IFERROR(ROUND(M25*0.05*1.1,0),0)</f>
        <v>0</v>
      </c>
      <c r="N27" s="37" t="s">
        <v>6</v>
      </c>
    </row>
    <row r="28" spans="2:14" ht="17" customHeight="1">
      <c r="B28" s="51" t="s">
        <v>42</v>
      </c>
      <c r="C28" s="89" t="str">
        <f>入力シート!C37</f>
        <v/>
      </c>
      <c r="D28" s="37" t="s">
        <v>6</v>
      </c>
      <c r="E28" s="61"/>
      <c r="F28" s="38" t="s">
        <v>39</v>
      </c>
      <c r="G28" s="6"/>
      <c r="H28" s="91">
        <f>入力シート!C52</f>
        <v>0</v>
      </c>
      <c r="I28" s="39" t="s">
        <v>6</v>
      </c>
      <c r="J28" s="61"/>
      <c r="K28" s="38" t="s">
        <v>39</v>
      </c>
      <c r="L28" s="6"/>
      <c r="M28" s="91">
        <f>入力シート!C52</f>
        <v>0</v>
      </c>
      <c r="N28" s="39" t="s">
        <v>6</v>
      </c>
    </row>
    <row r="29" spans="2:14" ht="17" customHeight="1">
      <c r="B29" s="51" t="s">
        <v>119</v>
      </c>
      <c r="C29" s="90">
        <f>入力シート!C38</f>
        <v>0</v>
      </c>
      <c r="D29" s="52" t="s">
        <v>6</v>
      </c>
      <c r="E29" s="61"/>
      <c r="F29" s="36" t="s">
        <v>41</v>
      </c>
      <c r="G29" s="5"/>
      <c r="H29" s="88">
        <f>入力シート!C53</f>
        <v>0</v>
      </c>
      <c r="I29" s="37" t="s">
        <v>6</v>
      </c>
      <c r="J29" s="61"/>
      <c r="K29" s="36" t="s">
        <v>41</v>
      </c>
      <c r="L29" s="5"/>
      <c r="M29" s="88">
        <f>入力シート!C53</f>
        <v>0</v>
      </c>
      <c r="N29" s="37" t="s">
        <v>6</v>
      </c>
    </row>
    <row r="30" spans="2:14" ht="17" customHeight="1" thickBot="1">
      <c r="B30" s="51" t="s">
        <v>45</v>
      </c>
      <c r="C30" s="88" t="str">
        <f>入力シート!C39</f>
        <v/>
      </c>
      <c r="D30" s="37" t="s">
        <v>6</v>
      </c>
      <c r="E30" s="61"/>
      <c r="F30" s="22"/>
      <c r="G30" s="23"/>
      <c r="H30" s="24"/>
      <c r="I30" s="15"/>
      <c r="J30" s="61"/>
      <c r="K30" s="22"/>
      <c r="L30" s="23"/>
      <c r="M30" s="24"/>
      <c r="N30" s="15"/>
    </row>
    <row r="31" spans="2:14" ht="18" customHeight="1" thickTop="1" thickBot="1">
      <c r="B31" s="53" t="s">
        <v>47</v>
      </c>
      <c r="C31" s="8">
        <f>SUM(C22:C30)</f>
        <v>0</v>
      </c>
      <c r="D31" s="41" t="s">
        <v>6</v>
      </c>
      <c r="E31" s="61"/>
      <c r="F31" s="54" t="s">
        <v>44</v>
      </c>
      <c r="G31" s="25"/>
      <c r="H31" s="26">
        <f>H25-SUM(H26:H30)</f>
        <v>0</v>
      </c>
      <c r="I31" s="55" t="s">
        <v>6</v>
      </c>
      <c r="J31" s="61"/>
      <c r="K31" s="54" t="s">
        <v>44</v>
      </c>
      <c r="L31" s="25"/>
      <c r="M31" s="26">
        <f>M25-SUM(M26:M30)</f>
        <v>0</v>
      </c>
      <c r="N31" s="55" t="s">
        <v>6</v>
      </c>
    </row>
    <row r="32" spans="2:14" ht="19" customHeight="1">
      <c r="B32" s="61"/>
      <c r="C32" s="61"/>
      <c r="D32" s="61"/>
      <c r="E32" s="61"/>
      <c r="F32" s="38" t="s">
        <v>46</v>
      </c>
      <c r="G32" s="6"/>
      <c r="H32" s="21">
        <f>H25*12</f>
        <v>0</v>
      </c>
      <c r="I32" s="39" t="s">
        <v>6</v>
      </c>
      <c r="J32" s="61"/>
      <c r="K32" s="38" t="s">
        <v>46</v>
      </c>
      <c r="L32" s="6"/>
      <c r="M32" s="21">
        <f>M25*12</f>
        <v>0</v>
      </c>
      <c r="N32" s="39" t="s">
        <v>6</v>
      </c>
    </row>
    <row r="33" spans="2:14" ht="17" customHeight="1" thickBot="1">
      <c r="B33" s="9" t="s">
        <v>50</v>
      </c>
      <c r="C33" s="61"/>
      <c r="D33" s="61"/>
      <c r="E33" s="61"/>
      <c r="F33" s="36" t="s">
        <v>48</v>
      </c>
      <c r="G33" s="5"/>
      <c r="H33" s="18">
        <f>H26*12</f>
        <v>0</v>
      </c>
      <c r="I33" s="37" t="s">
        <v>6</v>
      </c>
      <c r="J33" s="61"/>
      <c r="K33" s="36" t="s">
        <v>48</v>
      </c>
      <c r="L33" s="5"/>
      <c r="M33" s="18">
        <f>M26*12</f>
        <v>0</v>
      </c>
      <c r="N33" s="37" t="s">
        <v>6</v>
      </c>
    </row>
    <row r="34" spans="2:14" ht="18" customHeight="1">
      <c r="B34" s="32" t="s">
        <v>27</v>
      </c>
      <c r="C34" s="3" t="str">
        <f>C19</f>
        <v/>
      </c>
      <c r="D34" s="34" t="s">
        <v>6</v>
      </c>
      <c r="E34" s="61"/>
      <c r="F34" s="36" t="s">
        <v>49</v>
      </c>
      <c r="G34" s="5"/>
      <c r="H34" s="18">
        <f>H27*12</f>
        <v>0</v>
      </c>
      <c r="I34" s="37" t="s">
        <v>6</v>
      </c>
      <c r="J34" s="61"/>
      <c r="K34" s="36" t="s">
        <v>49</v>
      </c>
      <c r="L34" s="5"/>
      <c r="M34" s="18">
        <f>M27*12</f>
        <v>0</v>
      </c>
      <c r="N34" s="37" t="s">
        <v>6</v>
      </c>
    </row>
    <row r="35" spans="2:14" ht="17" customHeight="1" thickBot="1">
      <c r="B35" s="46" t="s">
        <v>47</v>
      </c>
      <c r="C35" s="24">
        <f>C31</f>
        <v>0</v>
      </c>
      <c r="D35" s="15" t="s">
        <v>6</v>
      </c>
      <c r="E35" s="61"/>
      <c r="F35" s="56" t="s">
        <v>51</v>
      </c>
      <c r="G35" s="57"/>
      <c r="H35" s="18">
        <f>C22</f>
        <v>0</v>
      </c>
      <c r="I35" s="58" t="s">
        <v>6</v>
      </c>
      <c r="J35" s="61"/>
      <c r="K35" s="56" t="s">
        <v>51</v>
      </c>
      <c r="L35" s="57"/>
      <c r="M35" s="18">
        <f>C22</f>
        <v>0</v>
      </c>
      <c r="N35" s="58" t="s">
        <v>6</v>
      </c>
    </row>
    <row r="36" spans="2:14" ht="18" customHeight="1" thickTop="1" thickBot="1">
      <c r="B36" s="47" t="s">
        <v>10</v>
      </c>
      <c r="C36" s="12" t="e">
        <f>C34+C35</f>
        <v>#VALUE!</v>
      </c>
      <c r="D36" s="29" t="s">
        <v>6</v>
      </c>
      <c r="E36" s="61"/>
      <c r="F36" s="38" t="s">
        <v>39</v>
      </c>
      <c r="G36" s="6"/>
      <c r="H36" s="21">
        <f>H28*12</f>
        <v>0</v>
      </c>
      <c r="I36" s="39" t="s">
        <v>6</v>
      </c>
      <c r="J36" s="61"/>
      <c r="K36" s="38" t="s">
        <v>39</v>
      </c>
      <c r="L36" s="6"/>
      <c r="M36" s="21">
        <f>M28*12</f>
        <v>0</v>
      </c>
      <c r="N36" s="39" t="s">
        <v>6</v>
      </c>
    </row>
    <row r="37" spans="2:14" ht="19" customHeight="1">
      <c r="B37" s="66" t="s">
        <v>52</v>
      </c>
      <c r="C37" s="61"/>
      <c r="D37" s="61"/>
      <c r="E37" s="61"/>
      <c r="F37" s="36" t="s">
        <v>41</v>
      </c>
      <c r="G37" s="5"/>
      <c r="H37" s="18">
        <f>H29*12</f>
        <v>0</v>
      </c>
      <c r="I37" s="37" t="s">
        <v>6</v>
      </c>
      <c r="J37" s="61"/>
      <c r="K37" s="36" t="s">
        <v>41</v>
      </c>
      <c r="L37" s="5"/>
      <c r="M37" s="18">
        <f>M29*12</f>
        <v>0</v>
      </c>
      <c r="N37" s="37" t="s">
        <v>6</v>
      </c>
    </row>
    <row r="38" spans="2:14" ht="17" customHeight="1" thickBot="1">
      <c r="B38" s="61"/>
      <c r="C38" s="61"/>
      <c r="D38" s="61"/>
      <c r="E38" s="61"/>
      <c r="F38" s="22"/>
      <c r="G38" s="23"/>
      <c r="H38" s="24"/>
      <c r="I38" s="15"/>
      <c r="J38" s="61"/>
      <c r="K38" s="22"/>
      <c r="L38" s="23"/>
      <c r="M38" s="24"/>
      <c r="N38" s="15"/>
    </row>
    <row r="39" spans="2:14" ht="18" customHeight="1" thickTop="1">
      <c r="B39" s="61"/>
      <c r="C39" s="61"/>
      <c r="D39" s="61"/>
      <c r="E39" s="61"/>
      <c r="F39" s="54" t="s">
        <v>53</v>
      </c>
      <c r="G39" s="25"/>
      <c r="H39" s="26">
        <f>H32-SUM(H33:H38)</f>
        <v>0</v>
      </c>
      <c r="I39" s="55" t="s">
        <v>6</v>
      </c>
      <c r="J39" s="61"/>
      <c r="K39" s="54" t="s">
        <v>53</v>
      </c>
      <c r="L39" s="25"/>
      <c r="M39" s="26">
        <f>M32-SUM(M33:M38)</f>
        <v>0</v>
      </c>
      <c r="N39" s="55" t="s">
        <v>6</v>
      </c>
    </row>
    <row r="40" spans="2:14" ht="20" customHeight="1" thickBot="1">
      <c r="B40" s="61"/>
      <c r="C40" s="61"/>
      <c r="D40" s="61"/>
      <c r="E40" s="61"/>
      <c r="F40" s="59" t="s">
        <v>44</v>
      </c>
      <c r="G40" s="27"/>
      <c r="H40" s="65">
        <f>H39/12</f>
        <v>0</v>
      </c>
      <c r="I40" s="60" t="s">
        <v>6</v>
      </c>
      <c r="J40" s="61"/>
      <c r="K40" s="59" t="s">
        <v>44</v>
      </c>
      <c r="L40" s="27"/>
      <c r="M40" s="65">
        <f>M39/12</f>
        <v>0</v>
      </c>
      <c r="N40" s="60" t="s">
        <v>6</v>
      </c>
    </row>
    <row r="41" spans="2:14" ht="20" customHeight="1" thickTop="1" thickBot="1">
      <c r="B41" s="61"/>
      <c r="C41" s="61"/>
      <c r="D41" s="61"/>
      <c r="E41" s="61"/>
      <c r="F41" s="50" t="s">
        <v>54</v>
      </c>
      <c r="G41" s="16"/>
      <c r="H41" s="28" t="str">
        <f>IFERROR(H32/C19*100,"")</f>
        <v/>
      </c>
      <c r="I41" s="29" t="s">
        <v>55</v>
      </c>
      <c r="J41" s="61"/>
      <c r="K41" s="50" t="s">
        <v>54</v>
      </c>
      <c r="L41" s="16"/>
      <c r="M41" s="28" t="str">
        <f>IFERROR(M32/C19*100,"")</f>
        <v/>
      </c>
      <c r="N41" s="29" t="s">
        <v>55</v>
      </c>
    </row>
    <row r="42" spans="2:14" ht="19" customHeight="1">
      <c r="B42" s="61"/>
      <c r="C42" s="61"/>
      <c r="D42" s="61"/>
      <c r="E42" s="61"/>
      <c r="F42" s="30" t="s">
        <v>56</v>
      </c>
      <c r="G42" s="13" t="s">
        <v>57</v>
      </c>
      <c r="H42" s="9">
        <f>H32-H34-H35-H36</f>
        <v>0</v>
      </c>
      <c r="I42" s="61"/>
      <c r="J42" s="61"/>
      <c r="K42" s="30" t="s">
        <v>56</v>
      </c>
      <c r="L42" s="13" t="s">
        <v>57</v>
      </c>
      <c r="M42" s="9">
        <f>M32-M34-M35-M36</f>
        <v>0</v>
      </c>
      <c r="N42" s="61"/>
    </row>
    <row r="43" spans="2:14" ht="17" customHeight="1">
      <c r="B43" s="61"/>
      <c r="C43" s="61"/>
      <c r="D43" s="61"/>
      <c r="E43" s="61"/>
      <c r="F43" s="30" t="s">
        <v>58</v>
      </c>
      <c r="G43" s="13" t="s">
        <v>57</v>
      </c>
      <c r="H43" s="31" t="str">
        <f>IFERROR(H42/C36*100,"")</f>
        <v/>
      </c>
      <c r="I43" s="31"/>
      <c r="J43" s="61"/>
      <c r="K43" s="30" t="s">
        <v>58</v>
      </c>
      <c r="L43" s="13" t="s">
        <v>57</v>
      </c>
      <c r="M43" s="31" t="str">
        <f>IFERROR(M42/C36*100,"")</f>
        <v/>
      </c>
      <c r="N43" s="31"/>
    </row>
    <row r="44" spans="2:14" ht="17" customHeight="1">
      <c r="B44" s="61"/>
      <c r="C44" s="61"/>
      <c r="D44" s="61"/>
      <c r="E44" s="61"/>
      <c r="F44" s="30" t="s">
        <v>59</v>
      </c>
      <c r="G44" s="13" t="s">
        <v>57</v>
      </c>
      <c r="H44" s="31" t="str">
        <f>IFERROR(H42/H33,"")</f>
        <v/>
      </c>
      <c r="I44" s="9" t="s">
        <v>60</v>
      </c>
      <c r="J44" s="61"/>
      <c r="K44" s="30" t="s">
        <v>59</v>
      </c>
      <c r="L44" s="13" t="s">
        <v>57</v>
      </c>
      <c r="M44" s="31" t="str">
        <f>IFERROR(M42/M33,"")</f>
        <v/>
      </c>
      <c r="N44" s="9" t="s">
        <v>60</v>
      </c>
    </row>
    <row r="45" spans="2:14" ht="17" customHeight="1">
      <c r="B45" s="61"/>
      <c r="C45" s="61"/>
      <c r="D45" s="61"/>
      <c r="E45" s="61"/>
      <c r="F45" s="30" t="s">
        <v>61</v>
      </c>
      <c r="G45" s="61"/>
      <c r="H45" s="9" t="str">
        <f>IFERROR(I20*12/H32*100,"")</f>
        <v/>
      </c>
      <c r="I45" s="9" t="s">
        <v>62</v>
      </c>
      <c r="J45" s="61"/>
      <c r="K45" s="30" t="s">
        <v>61</v>
      </c>
      <c r="L45" s="61"/>
      <c r="M45" s="9" t="str">
        <f>IFERROR(N20*12/M32*100,"")</f>
        <v/>
      </c>
      <c r="N45" s="9" t="s">
        <v>62</v>
      </c>
    </row>
    <row r="46" spans="2:14" ht="17" customHeight="1">
      <c r="E46" s="61"/>
      <c r="F46" s="30"/>
      <c r="G46" s="61"/>
      <c r="H46" s="9"/>
      <c r="I46" s="9"/>
      <c r="J46" s="61"/>
      <c r="K46" s="30"/>
      <c r="L46" s="61"/>
      <c r="M46" s="9"/>
      <c r="N46" s="9"/>
    </row>
  </sheetData>
  <mergeCells count="12">
    <mergeCell ref="K21:L21"/>
    <mergeCell ref="B2:I2"/>
    <mergeCell ref="H1:I1"/>
    <mergeCell ref="C13:D13"/>
    <mergeCell ref="C9:D9"/>
    <mergeCell ref="C8:D8"/>
    <mergeCell ref="F21:G21"/>
    <mergeCell ref="C12:D12"/>
    <mergeCell ref="C6:D6"/>
    <mergeCell ref="C7:D7"/>
    <mergeCell ref="C10:D10"/>
    <mergeCell ref="C11:D11"/>
  </mergeCells>
  <phoneticPr fontId="6"/>
  <pageMargins left="0.5" right="0.3" top="0.5" bottom="0.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N46"/>
  <sheetViews>
    <sheetView showGridLines="0" workbookViewId="0">
      <selection activeCell="G27" sqref="G27"/>
    </sheetView>
  </sheetViews>
  <sheetFormatPr baseColWidth="10" defaultColWidth="8.83203125" defaultRowHeight="17"/>
  <cols>
    <col min="1" max="1" width="0.6640625" customWidth="1"/>
    <col min="2" max="2" width="22.1640625" style="61" customWidth="1"/>
    <col min="3" max="3" width="21.83203125" style="61" customWidth="1"/>
    <col min="4" max="4" width="4.1640625" style="61" customWidth="1"/>
    <col min="5" max="5" width="3.5" style="61" customWidth="1"/>
    <col min="6" max="6" width="14.1640625" style="61" customWidth="1"/>
    <col min="7" max="7" width="5" style="61" customWidth="1"/>
    <col min="8" max="8" width="16" style="61" customWidth="1"/>
    <col min="9" max="9" width="14.1640625" style="61" customWidth="1"/>
    <col min="10" max="10" width="5" style="61" customWidth="1"/>
    <col min="11" max="11" width="16.83203125" style="61" customWidth="1"/>
    <col min="12" max="12" width="5.5" style="61" customWidth="1"/>
    <col min="13" max="13" width="18.83203125" style="61" customWidth="1"/>
    <col min="14" max="14" width="14.1640625" style="61" customWidth="1"/>
    <col min="15" max="15" width="9" customWidth="1"/>
  </cols>
  <sheetData>
    <row r="1" spans="2:14" ht="17" customHeight="1">
      <c r="H1" s="123">
        <f ca="1">TODAY()</f>
        <v>46134</v>
      </c>
      <c r="I1" s="120"/>
    </row>
    <row r="2" spans="2:14" ht="30.75" customHeight="1">
      <c r="B2" s="119" t="s">
        <v>0</v>
      </c>
      <c r="C2" s="120"/>
      <c r="D2" s="120"/>
      <c r="E2" s="120"/>
      <c r="F2" s="120"/>
      <c r="G2" s="120"/>
      <c r="H2" s="120"/>
      <c r="I2" s="120"/>
    </row>
    <row r="4" spans="2:14" ht="17" customHeight="1">
      <c r="B4" s="92">
        <f>入力シート!C4</f>
        <v>0</v>
      </c>
      <c r="C4" s="57" t="s">
        <v>1</v>
      </c>
    </row>
    <row r="5" spans="2:14" ht="18" customHeight="1">
      <c r="B5" s="9" t="s">
        <v>2</v>
      </c>
      <c r="F5" s="9" t="s">
        <v>3</v>
      </c>
    </row>
    <row r="6" spans="2:14" ht="17" customHeight="1">
      <c r="B6" s="32" t="s">
        <v>4</v>
      </c>
      <c r="C6" s="116">
        <f>入力シート!C5</f>
        <v>0</v>
      </c>
      <c r="D6" s="117"/>
      <c r="F6" s="33" t="s">
        <v>5</v>
      </c>
      <c r="G6" s="3"/>
      <c r="H6" s="4" t="e">
        <f>C31+IFERROR(C19,0)-IFERROR(入力シート!C45*10000,0)</f>
        <v>#VALUE!</v>
      </c>
      <c r="I6" s="34" t="s">
        <v>6</v>
      </c>
    </row>
    <row r="7" spans="2:14" ht="17" customHeight="1" thickBot="1">
      <c r="B7" s="35" t="s">
        <v>7</v>
      </c>
      <c r="C7" s="114">
        <f>入力シート!C6</f>
        <v>0</v>
      </c>
      <c r="D7" s="115"/>
      <c r="F7" s="38" t="s">
        <v>8</v>
      </c>
      <c r="G7" s="6"/>
      <c r="H7" s="78">
        <f>IFERROR(入力シート!C45*10000,0)</f>
        <v>0</v>
      </c>
      <c r="I7" s="39" t="s">
        <v>6</v>
      </c>
    </row>
    <row r="8" spans="2:14" ht="18" customHeight="1" thickTop="1" thickBot="1">
      <c r="B8" s="35" t="s">
        <v>9</v>
      </c>
      <c r="C8" s="114" t="str">
        <f>IF(ISNUMBER(入力シート!C11),TEXT(入力シート!C11,"0.00")&amp;"㎡ ("&amp;TEXT(入力シート!E11,"0.00")&amp;"坪)","")</f>
        <v/>
      </c>
      <c r="D8" s="115"/>
      <c r="F8" s="40" t="s">
        <v>10</v>
      </c>
      <c r="G8" s="7"/>
      <c r="H8" s="8" t="e">
        <f>SUM(H6:H7)</f>
        <v>#VALUE!</v>
      </c>
      <c r="I8" s="41" t="s">
        <v>6</v>
      </c>
    </row>
    <row r="9" spans="2:14" ht="19" customHeight="1">
      <c r="B9" s="35" t="s">
        <v>11</v>
      </c>
      <c r="C9" s="114" t="str">
        <f ca="1">入力シート!H7</f>
        <v/>
      </c>
      <c r="D9" s="115"/>
      <c r="F9" s="9"/>
      <c r="G9" s="9"/>
      <c r="H9" s="10"/>
      <c r="I9" s="10"/>
    </row>
    <row r="10" spans="2:14" ht="17" customHeight="1" thickBot="1">
      <c r="B10" s="35" t="s">
        <v>12</v>
      </c>
      <c r="C10" s="118" t="str">
        <f>IF(入力シート!C9="","",入力シート!C9&amp;"%")</f>
        <v/>
      </c>
      <c r="D10" s="115"/>
      <c r="F10" s="9" t="s">
        <v>13</v>
      </c>
      <c r="K10" s="9" t="s">
        <v>14</v>
      </c>
    </row>
    <row r="11" spans="2:14" ht="17" customHeight="1">
      <c r="B11" s="35" t="s">
        <v>15</v>
      </c>
      <c r="C11" s="118" t="str">
        <f>IF(入力シート!C10="","",入力シート!C10&amp;"%")</f>
        <v/>
      </c>
      <c r="D11" s="115"/>
      <c r="F11" s="32" t="s">
        <v>16</v>
      </c>
      <c r="G11" s="62" t="s">
        <v>17</v>
      </c>
      <c r="H11" s="62" t="s">
        <v>18</v>
      </c>
      <c r="I11" s="42" t="s">
        <v>19</v>
      </c>
      <c r="K11" s="32" t="s">
        <v>16</v>
      </c>
      <c r="L11" s="62" t="s">
        <v>17</v>
      </c>
      <c r="M11" s="62" t="s">
        <v>18</v>
      </c>
      <c r="N11" s="42" t="s">
        <v>19</v>
      </c>
    </row>
    <row r="12" spans="2:14" ht="18" customHeight="1">
      <c r="B12" s="35" t="s">
        <v>20</v>
      </c>
      <c r="C12" s="114" t="str">
        <f>入力シート!G8</f>
        <v/>
      </c>
      <c r="D12" s="115"/>
      <c r="F12" s="79">
        <f>入力シート!B22</f>
        <v>0</v>
      </c>
      <c r="G12" s="80">
        <f>入力シート!C22</f>
        <v>0</v>
      </c>
      <c r="H12" s="80">
        <f>入力シート!D22</f>
        <v>0</v>
      </c>
      <c r="I12" s="11">
        <f>IFERROR(G12*H12,0)</f>
        <v>0</v>
      </c>
      <c r="K12" s="79">
        <f>入力シート!B22</f>
        <v>0</v>
      </c>
      <c r="L12" s="80">
        <f>入力シート!C22</f>
        <v>0</v>
      </c>
      <c r="M12" s="80">
        <f>入力シート!F22</f>
        <v>0</v>
      </c>
      <c r="N12" s="11">
        <f>IFERROR(L12*M12,0)</f>
        <v>0</v>
      </c>
    </row>
    <row r="13" spans="2:14" ht="17" customHeight="1" thickBot="1">
      <c r="B13" s="43" t="s">
        <v>21</v>
      </c>
      <c r="C13" s="124" t="str">
        <f>IF(ISNUMBER(入力シート!C12),TEXT(入力シート!C12,"0.00")&amp;"㎡ ("&amp;TEXT(入力シート!E12,"0.00")&amp;"坪)","")</f>
        <v/>
      </c>
      <c r="D13" s="125"/>
      <c r="F13" s="81">
        <f>入力シート!B23</f>
        <v>0</v>
      </c>
      <c r="G13" s="82">
        <f>入力シート!C23</f>
        <v>0</v>
      </c>
      <c r="H13" s="82">
        <f>入力シート!D23</f>
        <v>0</v>
      </c>
      <c r="I13" s="11">
        <f>IFERROR(G13*H13,0)</f>
        <v>0</v>
      </c>
      <c r="K13" s="81">
        <f>入力シート!B23</f>
        <v>0</v>
      </c>
      <c r="L13" s="82">
        <f>入力シート!C23</f>
        <v>0</v>
      </c>
      <c r="M13" s="82">
        <f>入力シート!F23</f>
        <v>0</v>
      </c>
      <c r="N13" s="11">
        <f>IFERROR(L13*M13,0)</f>
        <v>0</v>
      </c>
    </row>
    <row r="14" spans="2:14" ht="18" customHeight="1" thickTop="1" thickBot="1">
      <c r="B14" s="3"/>
      <c r="C14" s="63"/>
      <c r="D14" s="63"/>
      <c r="F14" s="67" t="s">
        <v>10</v>
      </c>
      <c r="G14" s="68"/>
      <c r="H14" s="69">
        <f>SUM(I12:I13)</f>
        <v>0</v>
      </c>
      <c r="I14" s="70" t="s">
        <v>6</v>
      </c>
      <c r="K14" s="67" t="s">
        <v>10</v>
      </c>
      <c r="L14" s="68"/>
      <c r="M14" s="69">
        <f>SUM(N12:N13)</f>
        <v>0</v>
      </c>
      <c r="N14" s="70" t="s">
        <v>6</v>
      </c>
    </row>
    <row r="15" spans="2:14" ht="18" customHeight="1" thickBot="1">
      <c r="B15" s="9" t="s">
        <v>22</v>
      </c>
      <c r="F15" s="72"/>
      <c r="G15" s="72"/>
      <c r="H15" s="72"/>
      <c r="I15" s="72"/>
      <c r="K15" s="72"/>
      <c r="L15" s="72"/>
      <c r="M15" s="72"/>
      <c r="N15" s="72"/>
    </row>
    <row r="16" spans="2:14" ht="19" customHeight="1" thickBot="1">
      <c r="B16" s="32" t="str">
        <f>IF(OR(入力シート!C16&lt;&gt;"",入力シート!C17&lt;&gt;""),"","土地建物売買価格")</f>
        <v>土地建物売買価格</v>
      </c>
      <c r="C16" s="83" t="str">
        <f>IF(OR(入力シート!C16&lt;&gt;"",入力シート!C17&lt;&gt;""),"",入力シート!C18)</f>
        <v/>
      </c>
      <c r="D16" s="44" t="str">
        <f>IF(OR(入力シート!C16&lt;&gt;"",入力シート!C17&lt;&gt;""),"","円")</f>
        <v>円</v>
      </c>
      <c r="F16" s="9" t="s">
        <v>23</v>
      </c>
      <c r="H16" s="73"/>
      <c r="I16" s="73"/>
      <c r="K16" s="9" t="s">
        <v>23</v>
      </c>
      <c r="M16" s="73"/>
      <c r="N16" s="73"/>
    </row>
    <row r="17" spans="2:14" ht="17" customHeight="1">
      <c r="B17" s="35" t="str">
        <f>IF(入力シート!C15&lt;&gt;"","","土地売買価格")</f>
        <v>土地売買価格</v>
      </c>
      <c r="C17" s="112">
        <f>IF(入力シート!C15&lt;&gt;"","",IFERROR(入力シート!C16*10000,""))</f>
        <v>0</v>
      </c>
      <c r="D17" s="45" t="str">
        <f>IF(入力シート!C15&lt;&gt;"","","円")</f>
        <v>円</v>
      </c>
      <c r="F17" s="74" t="s">
        <v>24</v>
      </c>
      <c r="G17" s="75"/>
      <c r="H17" s="71" t="s">
        <v>25</v>
      </c>
      <c r="I17" s="52" t="s">
        <v>26</v>
      </c>
      <c r="K17" s="74" t="s">
        <v>24</v>
      </c>
      <c r="L17" s="75"/>
      <c r="M17" s="71" t="s">
        <v>25</v>
      </c>
      <c r="N17" s="52" t="s">
        <v>26</v>
      </c>
    </row>
    <row r="18" spans="2:14" ht="17" customHeight="1" thickBot="1">
      <c r="B18" s="46" t="str">
        <f>IF(入力シート!C15&lt;&gt;"","","建物売買価格")</f>
        <v>建物売買価格</v>
      </c>
      <c r="C18" s="113">
        <f>IF(入力シート!C15&lt;&gt;"","",IFERROR(入力シート!C17*10000,""))</f>
        <v>0</v>
      </c>
      <c r="D18" s="15" t="str">
        <f>IF(入力シート!C15&lt;&gt;"","","円")</f>
        <v>円</v>
      </c>
      <c r="F18" s="84" t="str">
        <f>IF(ISNUMBER(IFERROR(VALUE(ASC(入力シート!C46)),"")),"銀行融資"&amp;入力シート!C46&amp;"年","")</f>
        <v/>
      </c>
      <c r="G18" s="5"/>
      <c r="H18" s="85" t="str">
        <f>IF(ISNUMBER(入力シート!C47),"変動"&amp;TEXT(IF(入力シート!C47&gt;1,入力シート!C47/100,入力シート!C47),"0.00%"),"")</f>
        <v/>
      </c>
      <c r="I18" s="86">
        <f>入力シート!C48</f>
        <v>0</v>
      </c>
      <c r="K18" s="84" t="str">
        <f>IF(ISNUMBER(IFERROR(VALUE(ASC(入力シート!C46)),"")),"銀行融資"&amp;入力シート!C46&amp;"年","")</f>
        <v/>
      </c>
      <c r="L18" s="5"/>
      <c r="M18" s="85" t="str">
        <f>IF(ISNUMBER(入力シート!C47),"変動"&amp;TEXT(IF(入力シート!C47&gt;1,入力シート!C47/100,入力シート!C47),"0.00%"),"")</f>
        <v/>
      </c>
      <c r="N18" s="86">
        <f>入力シート!C48</f>
        <v>0</v>
      </c>
    </row>
    <row r="19" spans="2:14" ht="17" customHeight="1" thickTop="1" thickBot="1">
      <c r="B19" s="47" t="s">
        <v>27</v>
      </c>
      <c r="C19" s="12" t="str">
        <f>C16</f>
        <v/>
      </c>
      <c r="D19" s="29" t="s">
        <v>6</v>
      </c>
      <c r="F19" s="121" t="s">
        <v>28</v>
      </c>
      <c r="G19" s="122"/>
      <c r="H19" s="14"/>
      <c r="I19" s="15"/>
      <c r="K19" s="48" t="s">
        <v>28</v>
      </c>
      <c r="L19" s="64"/>
      <c r="M19" s="14"/>
      <c r="N19" s="15"/>
    </row>
    <row r="20" spans="2:14" ht="19" customHeight="1" thickBot="1">
      <c r="B20" s="10"/>
      <c r="F20" s="50" t="s">
        <v>10</v>
      </c>
      <c r="G20" s="16"/>
      <c r="H20" s="17">
        <f>I18</f>
        <v>0</v>
      </c>
      <c r="I20" s="29" t="s">
        <v>6</v>
      </c>
      <c r="J20" s="13"/>
      <c r="K20" s="50" t="s">
        <v>10</v>
      </c>
      <c r="L20" s="16"/>
      <c r="M20" s="17">
        <f>N18</f>
        <v>0</v>
      </c>
      <c r="N20" s="29" t="s">
        <v>6</v>
      </c>
    </row>
    <row r="21" spans="2:14" ht="17" customHeight="1" thickBot="1">
      <c r="B21" s="9" t="s">
        <v>29</v>
      </c>
      <c r="F21" s="19"/>
      <c r="K21" s="19"/>
    </row>
    <row r="22" spans="2:14" ht="18" customHeight="1" thickBot="1">
      <c r="B22" s="49" t="s">
        <v>30</v>
      </c>
      <c r="C22" s="87">
        <f>入力シート!C31</f>
        <v>0</v>
      </c>
      <c r="D22" s="34" t="s">
        <v>6</v>
      </c>
      <c r="F22" s="9" t="s">
        <v>31</v>
      </c>
      <c r="K22" s="9" t="s">
        <v>31</v>
      </c>
    </row>
    <row r="23" spans="2:14" ht="19" customHeight="1">
      <c r="B23" s="51" t="s">
        <v>32</v>
      </c>
      <c r="C23" s="88">
        <f>入力シート!C32</f>
        <v>0</v>
      </c>
      <c r="D23" s="37" t="s">
        <v>6</v>
      </c>
      <c r="F23" s="33" t="s">
        <v>33</v>
      </c>
      <c r="G23" s="3"/>
      <c r="H23" s="20">
        <f>H14</f>
        <v>0</v>
      </c>
      <c r="I23" s="34" t="s">
        <v>6</v>
      </c>
      <c r="K23" s="33" t="s">
        <v>33</v>
      </c>
      <c r="L23" s="3"/>
      <c r="M23" s="20">
        <f>M14</f>
        <v>0</v>
      </c>
      <c r="N23" s="34" t="s">
        <v>6</v>
      </c>
    </row>
    <row r="24" spans="2:14" ht="17" customHeight="1">
      <c r="B24" s="51" t="s">
        <v>34</v>
      </c>
      <c r="C24" s="89">
        <f>入力シート!C33</f>
        <v>0</v>
      </c>
      <c r="D24" s="52" t="s">
        <v>6</v>
      </c>
      <c r="F24" s="36" t="s">
        <v>35</v>
      </c>
      <c r="G24" s="5"/>
      <c r="H24" s="18">
        <f>H20</f>
        <v>0</v>
      </c>
      <c r="I24" s="37" t="s">
        <v>6</v>
      </c>
      <c r="K24" s="36" t="s">
        <v>35</v>
      </c>
      <c r="L24" s="5"/>
      <c r="M24" s="18">
        <f>M20</f>
        <v>0</v>
      </c>
      <c r="N24" s="37" t="s">
        <v>6</v>
      </c>
    </row>
    <row r="25" spans="2:14" ht="18" customHeight="1">
      <c r="B25" s="51" t="s">
        <v>36</v>
      </c>
      <c r="C25" s="88">
        <f>入力シート!C34</f>
        <v>0</v>
      </c>
      <c r="D25" s="37" t="s">
        <v>6</v>
      </c>
      <c r="F25" s="36" t="s">
        <v>37</v>
      </c>
      <c r="G25" s="5"/>
      <c r="H25" s="18">
        <f>IFERROR(ROUND(H23*0.04*1.1,0),0)</f>
        <v>0</v>
      </c>
      <c r="I25" s="37" t="s">
        <v>6</v>
      </c>
      <c r="K25" s="36" t="s">
        <v>37</v>
      </c>
      <c r="L25" s="5"/>
      <c r="M25" s="18">
        <f>IFERROR(ROUND(M23*0.04*1.1,0),0)</f>
        <v>0</v>
      </c>
      <c r="N25" s="37" t="s">
        <v>6</v>
      </c>
    </row>
    <row r="26" spans="2:14" ht="17" customHeight="1">
      <c r="B26" s="51" t="s">
        <v>38</v>
      </c>
      <c r="C26" s="88">
        <f>入力シート!C35</f>
        <v>0</v>
      </c>
      <c r="D26" s="37" t="s">
        <v>6</v>
      </c>
      <c r="F26" s="38" t="s">
        <v>39</v>
      </c>
      <c r="G26" s="6"/>
      <c r="H26" s="91">
        <f>入力シート!C52</f>
        <v>0</v>
      </c>
      <c r="I26" s="39" t="s">
        <v>6</v>
      </c>
      <c r="K26" s="38" t="s">
        <v>39</v>
      </c>
      <c r="L26" s="6"/>
      <c r="M26" s="91">
        <f>入力シート!C52</f>
        <v>0</v>
      </c>
      <c r="N26" s="39" t="s">
        <v>6</v>
      </c>
    </row>
    <row r="27" spans="2:14" ht="17" customHeight="1">
      <c r="B27" s="51" t="s">
        <v>40</v>
      </c>
      <c r="C27" s="90">
        <f>入力シート!C36</f>
        <v>0</v>
      </c>
      <c r="D27" s="52" t="s">
        <v>6</v>
      </c>
      <c r="F27" s="36" t="s">
        <v>41</v>
      </c>
      <c r="G27" s="5"/>
      <c r="H27" s="88">
        <f>入力シート!C53</f>
        <v>0</v>
      </c>
      <c r="I27" s="37" t="s">
        <v>6</v>
      </c>
      <c r="K27" s="36" t="s">
        <v>41</v>
      </c>
      <c r="L27" s="5"/>
      <c r="M27" s="88">
        <f>入力シート!C53</f>
        <v>0</v>
      </c>
      <c r="N27" s="37" t="s">
        <v>6</v>
      </c>
    </row>
    <row r="28" spans="2:14" ht="17" customHeight="1" thickBot="1">
      <c r="B28" s="51" t="s">
        <v>42</v>
      </c>
      <c r="C28" s="89" t="str">
        <f>入力シート!C37</f>
        <v/>
      </c>
      <c r="D28" s="37" t="s">
        <v>6</v>
      </c>
      <c r="F28" s="22"/>
      <c r="G28" s="23"/>
      <c r="H28" s="24"/>
      <c r="I28" s="15"/>
      <c r="K28" s="22"/>
      <c r="L28" s="23"/>
      <c r="M28" s="24"/>
      <c r="N28" s="15"/>
    </row>
    <row r="29" spans="2:14" ht="17" customHeight="1" thickTop="1">
      <c r="B29" s="51" t="s">
        <v>43</v>
      </c>
      <c r="C29" s="90" t="str">
        <f>入力シート!F38</f>
        <v/>
      </c>
      <c r="D29" s="52" t="s">
        <v>6</v>
      </c>
      <c r="F29" s="54" t="s">
        <v>44</v>
      </c>
      <c r="G29" s="25"/>
      <c r="H29" s="26">
        <f>H23-SUM(H24:H28)</f>
        <v>0</v>
      </c>
      <c r="I29" s="55" t="s">
        <v>6</v>
      </c>
      <c r="K29" s="54" t="s">
        <v>44</v>
      </c>
      <c r="L29" s="25"/>
      <c r="M29" s="26">
        <f>M23-SUM(M24:M28)</f>
        <v>0</v>
      </c>
      <c r="N29" s="55" t="s">
        <v>6</v>
      </c>
    </row>
    <row r="30" spans="2:14" ht="17" customHeight="1" thickBot="1">
      <c r="B30" s="51" t="s">
        <v>45</v>
      </c>
      <c r="C30" s="88" t="str">
        <f>入力シート!C39</f>
        <v/>
      </c>
      <c r="D30" s="37" t="s">
        <v>6</v>
      </c>
      <c r="F30" s="38" t="s">
        <v>46</v>
      </c>
      <c r="G30" s="6"/>
      <c r="H30" s="21">
        <f>H23*12</f>
        <v>0</v>
      </c>
      <c r="I30" s="39" t="s">
        <v>6</v>
      </c>
      <c r="K30" s="38" t="s">
        <v>46</v>
      </c>
      <c r="L30" s="6"/>
      <c r="M30" s="21">
        <f>M23*12</f>
        <v>0</v>
      </c>
      <c r="N30" s="39" t="s">
        <v>6</v>
      </c>
    </row>
    <row r="31" spans="2:14" ht="18" customHeight="1" thickTop="1" thickBot="1">
      <c r="B31" s="53" t="s">
        <v>47</v>
      </c>
      <c r="C31" s="8">
        <f>SUM(C22:C30)</f>
        <v>0</v>
      </c>
      <c r="D31" s="41" t="s">
        <v>6</v>
      </c>
      <c r="F31" s="36" t="s">
        <v>48</v>
      </c>
      <c r="G31" s="5"/>
      <c r="H31" s="18">
        <f>H24*12</f>
        <v>0</v>
      </c>
      <c r="I31" s="37" t="s">
        <v>6</v>
      </c>
      <c r="K31" s="36" t="s">
        <v>48</v>
      </c>
      <c r="L31" s="5"/>
      <c r="M31" s="18">
        <f>M24*12</f>
        <v>0</v>
      </c>
      <c r="N31" s="37" t="s">
        <v>6</v>
      </c>
    </row>
    <row r="32" spans="2:14" ht="19" customHeight="1">
      <c r="F32" s="36" t="s">
        <v>49</v>
      </c>
      <c r="G32" s="5"/>
      <c r="H32" s="18">
        <f>H25*12</f>
        <v>0</v>
      </c>
      <c r="I32" s="37" t="s">
        <v>6</v>
      </c>
      <c r="K32" s="36" t="s">
        <v>49</v>
      </c>
      <c r="L32" s="5"/>
      <c r="M32" s="18">
        <f>M25*12</f>
        <v>0</v>
      </c>
      <c r="N32" s="37" t="s">
        <v>6</v>
      </c>
    </row>
    <row r="33" spans="2:14" ht="17" customHeight="1" thickBot="1">
      <c r="B33" s="9" t="s">
        <v>50</v>
      </c>
      <c r="F33" s="56" t="s">
        <v>51</v>
      </c>
      <c r="G33" s="57"/>
      <c r="H33" s="18">
        <f>C22</f>
        <v>0</v>
      </c>
      <c r="I33" s="58" t="s">
        <v>6</v>
      </c>
      <c r="K33" s="56" t="s">
        <v>51</v>
      </c>
      <c r="L33" s="57"/>
      <c r="M33" s="18">
        <f>C22</f>
        <v>0</v>
      </c>
      <c r="N33" s="58" t="s">
        <v>6</v>
      </c>
    </row>
    <row r="34" spans="2:14" ht="18" customHeight="1">
      <c r="B34" s="32" t="s">
        <v>27</v>
      </c>
      <c r="C34" s="3" t="str">
        <f>C19</f>
        <v/>
      </c>
      <c r="D34" s="34" t="s">
        <v>6</v>
      </c>
      <c r="F34" s="38" t="s">
        <v>39</v>
      </c>
      <c r="G34" s="6"/>
      <c r="H34" s="21">
        <f>H26*12</f>
        <v>0</v>
      </c>
      <c r="I34" s="39" t="s">
        <v>6</v>
      </c>
      <c r="K34" s="38" t="s">
        <v>39</v>
      </c>
      <c r="L34" s="6"/>
      <c r="M34" s="21">
        <f>M26*12</f>
        <v>0</v>
      </c>
      <c r="N34" s="39" t="s">
        <v>6</v>
      </c>
    </row>
    <row r="35" spans="2:14" ht="17" customHeight="1" thickBot="1">
      <c r="B35" s="46" t="s">
        <v>47</v>
      </c>
      <c r="C35" s="24">
        <f>C31</f>
        <v>0</v>
      </c>
      <c r="D35" s="15" t="s">
        <v>6</v>
      </c>
      <c r="F35" s="36" t="s">
        <v>41</v>
      </c>
      <c r="G35" s="5"/>
      <c r="H35" s="18">
        <f>H27*12</f>
        <v>0</v>
      </c>
      <c r="I35" s="37" t="s">
        <v>6</v>
      </c>
      <c r="K35" s="36" t="s">
        <v>41</v>
      </c>
      <c r="L35" s="5"/>
      <c r="M35" s="18">
        <f>M27*12</f>
        <v>0</v>
      </c>
      <c r="N35" s="37" t="s">
        <v>6</v>
      </c>
    </row>
    <row r="36" spans="2:14" ht="18" customHeight="1" thickTop="1" thickBot="1">
      <c r="B36" s="47" t="s">
        <v>10</v>
      </c>
      <c r="C36" s="12" t="e">
        <f>C34+C35</f>
        <v>#VALUE!</v>
      </c>
      <c r="D36" s="29" t="s">
        <v>6</v>
      </c>
      <c r="F36" s="22"/>
      <c r="G36" s="23"/>
      <c r="H36" s="24"/>
      <c r="I36" s="15"/>
      <c r="K36" s="22"/>
      <c r="L36" s="23"/>
      <c r="M36" s="24"/>
      <c r="N36" s="15"/>
    </row>
    <row r="37" spans="2:14" ht="19" customHeight="1" thickTop="1">
      <c r="B37" s="66" t="s">
        <v>52</v>
      </c>
      <c r="F37" s="54" t="s">
        <v>53</v>
      </c>
      <c r="G37" s="25"/>
      <c r="H37" s="26">
        <f>H30-SUM(H31:H36)</f>
        <v>0</v>
      </c>
      <c r="I37" s="55" t="s">
        <v>6</v>
      </c>
      <c r="K37" s="54" t="s">
        <v>53</v>
      </c>
      <c r="L37" s="25"/>
      <c r="M37" s="26">
        <f>M30-SUM(M31:M36)</f>
        <v>0</v>
      </c>
      <c r="N37" s="55" t="s">
        <v>6</v>
      </c>
    </row>
    <row r="38" spans="2:14" ht="17" customHeight="1" thickBot="1">
      <c r="F38" s="59" t="s">
        <v>44</v>
      </c>
      <c r="G38" s="27"/>
      <c r="H38" s="65">
        <f>H37/12</f>
        <v>0</v>
      </c>
      <c r="I38" s="60" t="s">
        <v>6</v>
      </c>
      <c r="K38" s="59" t="s">
        <v>44</v>
      </c>
      <c r="L38" s="27"/>
      <c r="M38" s="65">
        <f>M37/12</f>
        <v>0</v>
      </c>
      <c r="N38" s="60" t="s">
        <v>6</v>
      </c>
    </row>
    <row r="39" spans="2:14" ht="18" customHeight="1" thickTop="1" thickBot="1">
      <c r="F39" s="50" t="s">
        <v>54</v>
      </c>
      <c r="G39" s="16"/>
      <c r="H39" s="28" t="str">
        <f>IFERROR(H30/C19*100,"")</f>
        <v/>
      </c>
      <c r="I39" s="29" t="s">
        <v>55</v>
      </c>
      <c r="K39" s="50" t="s">
        <v>54</v>
      </c>
      <c r="L39" s="16"/>
      <c r="M39" s="28" t="str">
        <f>IFERROR(M30/C19*100,"")</f>
        <v/>
      </c>
      <c r="N39" s="29" t="s">
        <v>55</v>
      </c>
    </row>
    <row r="40" spans="2:14" ht="20" customHeight="1">
      <c r="F40" s="30" t="s">
        <v>56</v>
      </c>
      <c r="G40" s="13" t="s">
        <v>57</v>
      </c>
      <c r="H40" s="9">
        <f>H30-H32-H33-H34</f>
        <v>0</v>
      </c>
      <c r="K40" s="30" t="s">
        <v>56</v>
      </c>
      <c r="L40" s="13" t="s">
        <v>57</v>
      </c>
      <c r="M40" s="9">
        <f>M30-M32-M33-M34</f>
        <v>0</v>
      </c>
    </row>
    <row r="41" spans="2:14" ht="20" customHeight="1">
      <c r="F41" s="30" t="s">
        <v>58</v>
      </c>
      <c r="G41" s="13" t="s">
        <v>57</v>
      </c>
      <c r="H41" s="31" t="str">
        <f>IFERROR(H40/C36*100,"")</f>
        <v/>
      </c>
      <c r="I41" s="31"/>
      <c r="K41" s="30" t="s">
        <v>58</v>
      </c>
      <c r="L41" s="13" t="s">
        <v>57</v>
      </c>
      <c r="M41" s="31" t="str">
        <f>IFERROR(M40/C36*100,"")</f>
        <v/>
      </c>
      <c r="N41" s="31"/>
    </row>
    <row r="42" spans="2:14" ht="19" customHeight="1">
      <c r="F42" s="30" t="s">
        <v>59</v>
      </c>
      <c r="G42" s="13" t="s">
        <v>57</v>
      </c>
      <c r="H42" s="31" t="str">
        <f>IFERROR(H40/H31,"")</f>
        <v/>
      </c>
      <c r="I42" s="9" t="s">
        <v>60</v>
      </c>
      <c r="K42" s="30" t="s">
        <v>59</v>
      </c>
      <c r="L42" s="13" t="s">
        <v>57</v>
      </c>
      <c r="M42" s="31" t="str">
        <f>IFERROR(M40/M31,"")</f>
        <v/>
      </c>
      <c r="N42" s="9" t="s">
        <v>60</v>
      </c>
    </row>
    <row r="43" spans="2:14" ht="17" customHeight="1">
      <c r="F43" s="30" t="s">
        <v>61</v>
      </c>
      <c r="H43" s="9" t="str">
        <f>IFERROR(I18*12/H30*100,"")</f>
        <v/>
      </c>
      <c r="I43" s="9" t="s">
        <v>62</v>
      </c>
      <c r="K43" s="30" t="s">
        <v>61</v>
      </c>
      <c r="M43" s="9" t="str">
        <f>IFERROR(N18*12/M30*100,"")</f>
        <v/>
      </c>
      <c r="N43" s="9" t="s">
        <v>62</v>
      </c>
    </row>
    <row r="44" spans="2:14" ht="17" customHeight="1"/>
    <row r="45" spans="2:14" ht="17" customHeight="1"/>
    <row r="46" spans="2:14" ht="17" customHeight="1"/>
  </sheetData>
  <mergeCells count="11">
    <mergeCell ref="B2:I2"/>
    <mergeCell ref="F19:G19"/>
    <mergeCell ref="H1:I1"/>
    <mergeCell ref="C13:D13"/>
    <mergeCell ref="C9:D9"/>
    <mergeCell ref="C8:D8"/>
    <mergeCell ref="C12:D12"/>
    <mergeCell ref="C6:D6"/>
    <mergeCell ref="C7:D7"/>
    <mergeCell ref="C10:D10"/>
    <mergeCell ref="C11:D11"/>
  </mergeCells>
  <phoneticPr fontId="6"/>
  <pageMargins left="0.5" right="0.3" top="0.5" bottom="0.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入力シート</vt:lpstr>
      <vt:lpstr>手持ち用</vt:lpstr>
      <vt:lpstr>金融機関提出用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圭一 太田</cp:lastModifiedBy>
  <dcterms:created xsi:type="dcterms:W3CDTF">2026-04-21T02:40:20Z</dcterms:created>
  <dcterms:modified xsi:type="dcterms:W3CDTF">2026-04-22T14:20:02Z</dcterms:modified>
</cp:coreProperties>
</file>