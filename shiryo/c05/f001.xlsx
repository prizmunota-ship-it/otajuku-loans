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otakeiichi/Library/CloudStorage/GoogleDrive-prizmun.ota@gmail.com/マイドライブ/太田塾/５．売却/"/>
    </mc:Choice>
  </mc:AlternateContent>
  <xr:revisionPtr revIDLastSave="0" documentId="13_ncr:1_{DC062594-0F83-534E-8F1F-4E74C1E33190}" xr6:coauthVersionLast="47" xr6:coauthVersionMax="47" xr10:uidLastSave="{00000000-0000-0000-0000-000000000000}"/>
  <bookViews>
    <workbookView xWindow="3440" yWindow="2540" windowWidth="27500" windowHeight="16360" xr2:uid="{FC1AF945-7A60-3748-90BF-992C728B1348}"/>
  </bookViews>
  <sheets>
    <sheet name="売却物件一覧表（業者閲覧用）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1" l="1"/>
  <c r="D5" i="1"/>
  <c r="M4" i="1"/>
  <c r="D4" i="1"/>
</calcChain>
</file>

<file path=xl/sharedStrings.xml><?xml version="1.0" encoding="utf-8"?>
<sst xmlns="http://schemas.openxmlformats.org/spreadsheetml/2006/main" count="28" uniqueCount="28">
  <si>
    <t>令和７年４月１６日現在</t>
    <rPh sb="0" eb="2">
      <t xml:space="preserve">レイワ </t>
    </rPh>
    <rPh sb="3" eb="4">
      <t xml:space="preserve">ネン </t>
    </rPh>
    <rPh sb="5" eb="6">
      <t xml:space="preserve">ツキ </t>
    </rPh>
    <rPh sb="8" eb="9">
      <t xml:space="preserve">ニチ </t>
    </rPh>
    <rPh sb="9" eb="11">
      <t xml:space="preserve">ゲンザイ </t>
    </rPh>
    <phoneticPr fontId="3"/>
  </si>
  <si>
    <t>物件名</t>
    <rPh sb="0" eb="3">
      <t xml:space="preserve">ブッケンメイ </t>
    </rPh>
    <phoneticPr fontId="3"/>
  </si>
  <si>
    <t>販売価格
（円/税込）</t>
    <rPh sb="0" eb="2">
      <t xml:space="preserve">ハンバイカカウ </t>
    </rPh>
    <rPh sb="2" eb="4">
      <t xml:space="preserve">カカク </t>
    </rPh>
    <rPh sb="6" eb="7">
      <t xml:space="preserve">エン </t>
    </rPh>
    <rPh sb="8" eb="10">
      <t xml:space="preserve">ゼイコミ </t>
    </rPh>
    <phoneticPr fontId="3"/>
  </si>
  <si>
    <t>満室想定
利回り</t>
    <rPh sb="0" eb="2">
      <t xml:space="preserve">マンシツ </t>
    </rPh>
    <rPh sb="2" eb="4">
      <t xml:space="preserve">ソウテイ </t>
    </rPh>
    <rPh sb="4" eb="6">
      <t xml:space="preserve">リマワリ </t>
    </rPh>
    <phoneticPr fontId="3"/>
  </si>
  <si>
    <t>満室想定
家賃（月）</t>
    <rPh sb="0" eb="4">
      <t xml:space="preserve">マンシツソウテイ </t>
    </rPh>
    <rPh sb="5" eb="7">
      <t xml:space="preserve">ヤチン </t>
    </rPh>
    <rPh sb="8" eb="9">
      <t xml:space="preserve">ツキ </t>
    </rPh>
    <phoneticPr fontId="3"/>
  </si>
  <si>
    <t>住所</t>
    <rPh sb="0" eb="2">
      <t xml:space="preserve">ジュウショ </t>
    </rPh>
    <phoneticPr fontId="3"/>
  </si>
  <si>
    <t>構造</t>
    <rPh sb="0" eb="2">
      <t xml:space="preserve">コウゾウ </t>
    </rPh>
    <phoneticPr fontId="3"/>
  </si>
  <si>
    <t>築年数</t>
    <rPh sb="0" eb="3">
      <t xml:space="preserve">チクネンスウ </t>
    </rPh>
    <phoneticPr fontId="3"/>
  </si>
  <si>
    <t>戸数</t>
    <rPh sb="0" eb="2">
      <t xml:space="preserve">コスウ </t>
    </rPh>
    <phoneticPr fontId="3"/>
  </si>
  <si>
    <t>タイプ</t>
    <phoneticPr fontId="3"/>
  </si>
  <si>
    <t>土地面積
（㎡）</t>
    <rPh sb="0" eb="4">
      <t xml:space="preserve">トチメンセキ </t>
    </rPh>
    <phoneticPr fontId="3"/>
  </si>
  <si>
    <t>延床面積
（㎡）</t>
    <rPh sb="0" eb="2">
      <t xml:space="preserve">ノベユカ </t>
    </rPh>
    <rPh sb="2" eb="4">
      <t xml:space="preserve">メンセキ </t>
    </rPh>
    <phoneticPr fontId="3"/>
  </si>
  <si>
    <t>固定資産税評価額
（円）</t>
    <rPh sb="0" eb="5">
      <t xml:space="preserve">コテイシサンゼイ </t>
    </rPh>
    <rPh sb="5" eb="8">
      <t xml:space="preserve">ヒョウカガク </t>
    </rPh>
    <rPh sb="10" eb="11">
      <t xml:space="preserve">エン </t>
    </rPh>
    <phoneticPr fontId="3"/>
  </si>
  <si>
    <t>固定資産税評価額
（円：建物）</t>
    <rPh sb="0" eb="5">
      <t xml:space="preserve">コテイシサンゼイ </t>
    </rPh>
    <rPh sb="5" eb="8">
      <t xml:space="preserve">ヒョウカガク </t>
    </rPh>
    <rPh sb="9" eb="13">
      <t xml:space="preserve">タテモノ </t>
    </rPh>
    <phoneticPr fontId="3"/>
  </si>
  <si>
    <t>固定資産税評価額
（円：土地）</t>
    <rPh sb="0" eb="8">
      <t xml:space="preserve">コテイシサンゼイヒョウカガク </t>
    </rPh>
    <rPh sb="9" eb="13">
      <t xml:space="preserve">トチ </t>
    </rPh>
    <phoneticPr fontId="3"/>
  </si>
  <si>
    <t>状況</t>
    <rPh sb="0" eb="2">
      <t xml:space="preserve">ジョウキョウ </t>
    </rPh>
    <phoneticPr fontId="3"/>
  </si>
  <si>
    <t>プライマリー久留米大前</t>
    <rPh sb="6" eb="11">
      <t xml:space="preserve">クルメダイマエ </t>
    </rPh>
    <phoneticPr fontId="3"/>
  </si>
  <si>
    <t>久留米市御井町１９９８−６</t>
    <rPh sb="0" eb="4">
      <t xml:space="preserve">クルメシ </t>
    </rPh>
    <rPh sb="4" eb="7">
      <t xml:space="preserve">ミイマチ </t>
    </rPh>
    <phoneticPr fontId="3"/>
  </si>
  <si>
    <t>W</t>
    <phoneticPr fontId="3"/>
  </si>
  <si>
    <t>S63.2</t>
    <phoneticPr fontId="3"/>
  </si>
  <si>
    <t>１K＋ロフト</t>
    <phoneticPr fontId="3"/>
  </si>
  <si>
    <t>平成２８年　大規模改修工事済
令和４年　共用灯LED化、集合ポスト宅配BOX新設
令和５年　一部外壁改修工事済み</t>
    <rPh sb="0" eb="2">
      <t xml:space="preserve">ヘイセイ </t>
    </rPh>
    <rPh sb="4" eb="5">
      <t xml:space="preserve">ネン </t>
    </rPh>
    <rPh sb="6" eb="13">
      <t xml:space="preserve">ダイキボカイシュウコウジ </t>
    </rPh>
    <rPh sb="13" eb="14">
      <t xml:space="preserve">ズミ </t>
    </rPh>
    <rPh sb="14" eb="16">
      <t xml:space="preserve">レイワ </t>
    </rPh>
    <rPh sb="17" eb="18">
      <t xml:space="preserve">ネン </t>
    </rPh>
    <rPh sb="19" eb="21">
      <t xml:space="preserve">キョウヨウトウ </t>
    </rPh>
    <rPh sb="21" eb="22">
      <t xml:space="preserve">トウ </t>
    </rPh>
    <rPh sb="25" eb="26">
      <t xml:space="preserve">カ </t>
    </rPh>
    <rPh sb="27" eb="29">
      <t xml:space="preserve">シュウゴウポスト </t>
    </rPh>
    <rPh sb="32" eb="34">
      <t xml:space="preserve">タクハイ </t>
    </rPh>
    <rPh sb="37" eb="39">
      <t xml:space="preserve">シンセツ </t>
    </rPh>
    <rPh sb="40" eb="42">
      <t xml:space="preserve">レイワ </t>
    </rPh>
    <rPh sb="43" eb="44">
      <t xml:space="preserve">ネン </t>
    </rPh>
    <rPh sb="45" eb="47">
      <t xml:space="preserve">イチブ </t>
    </rPh>
    <rPh sb="47" eb="49">
      <t xml:space="preserve">ガイヘキ </t>
    </rPh>
    <rPh sb="49" eb="53">
      <t xml:space="preserve">カイシュウコウジ </t>
    </rPh>
    <rPh sb="53" eb="54">
      <t xml:space="preserve">ズミ </t>
    </rPh>
    <phoneticPr fontId="3"/>
  </si>
  <si>
    <t>プライマリー久留米大東</t>
    <rPh sb="0" eb="5">
      <t>プライマリー</t>
    </rPh>
    <rPh sb="6" eb="7">
      <t xml:space="preserve">クルメダイヒガシ </t>
    </rPh>
    <rPh sb="9" eb="10">
      <t xml:space="preserve">ダイ </t>
    </rPh>
    <rPh sb="10" eb="11">
      <t xml:space="preserve">ヒガシ </t>
    </rPh>
    <phoneticPr fontId="3"/>
  </si>
  <si>
    <t>久留米市御井町３７６</t>
    <rPh sb="0" eb="4">
      <t xml:space="preserve">クルメシ </t>
    </rPh>
    <rPh sb="4" eb="7">
      <t xml:space="preserve">ミイマチ </t>
    </rPh>
    <phoneticPr fontId="3"/>
  </si>
  <si>
    <t>S（重量）</t>
    <rPh sb="2" eb="4">
      <t xml:space="preserve">ジュウリョウテッコツ </t>
    </rPh>
    <phoneticPr fontId="3"/>
  </si>
  <si>
    <t>H3.5</t>
    <phoneticPr fontId="3"/>
  </si>
  <si>
    <t>１R（洋室約１０帖）</t>
    <rPh sb="3" eb="5">
      <t xml:space="preserve">ヨウシツ </t>
    </rPh>
    <rPh sb="5" eb="6">
      <t xml:space="preserve">ヤク </t>
    </rPh>
    <rPh sb="8" eb="9">
      <t xml:space="preserve">ジョウ </t>
    </rPh>
    <phoneticPr fontId="3"/>
  </si>
  <si>
    <t>当社売主　不動産売却一覧表</t>
    <rPh sb="0" eb="2">
      <t xml:space="preserve">トウシャ </t>
    </rPh>
    <rPh sb="2" eb="4">
      <t xml:space="preserve">ウリヌシ </t>
    </rPh>
    <rPh sb="5" eb="8">
      <t xml:space="preserve">フドウサン </t>
    </rPh>
    <rPh sb="8" eb="10">
      <t xml:space="preserve">バイキャク </t>
    </rPh>
    <rPh sb="10" eb="12">
      <t xml:space="preserve">イチランｈｙホウ </t>
    </rPh>
    <rPh sb="12" eb="13">
      <t xml:space="preserve">ヒョウ 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</si>
</sst>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[Red]\(#,##0\)"/>
  </numFmts>
  <fonts count="6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20"/>
      <color theme="1"/>
      <name val="ＭＳ Ｐゴシック"/>
      <family val="2"/>
      <charset val="128"/>
    </font>
    <font>
      <sz val="6"/>
      <name val="游ゴシック"/>
      <family val="2"/>
      <charset val="128"/>
      <scheme val="minor"/>
    </font>
    <font>
      <sz val="12"/>
      <color theme="1"/>
      <name val="ＭＳ Ｐゴシック"/>
      <family val="2"/>
      <charset val="128"/>
    </font>
    <font>
      <b/>
      <sz val="14"/>
      <color rgb="FFFF0000"/>
      <name val="ＭＳ Ｐゴシック"/>
      <family val="2"/>
      <charset val="128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38" fontId="4" fillId="0" borderId="0" xfId="1" applyFont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right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38" fontId="4" fillId="0" borderId="3" xfId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38" fontId="4" fillId="0" borderId="6" xfId="1" applyFont="1" applyBorder="1" applyAlignment="1">
      <alignment horizontal="center" vertical="center"/>
    </xf>
    <xf numFmtId="10" fontId="4" fillId="0" borderId="6" xfId="0" applyNumberFormat="1" applyFont="1" applyBorder="1" applyAlignment="1">
      <alignment horizontal="center" vertical="center"/>
    </xf>
    <xf numFmtId="176" fontId="4" fillId="0" borderId="6" xfId="0" applyNumberFormat="1" applyFont="1" applyBorder="1" applyAlignment="1">
      <alignment horizontal="center" vertical="center"/>
    </xf>
    <xf numFmtId="38" fontId="4" fillId="0" borderId="7" xfId="1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38" fontId="4" fillId="0" borderId="10" xfId="1" applyFont="1" applyBorder="1" applyAlignment="1">
      <alignment horizontal="center" vertical="center"/>
    </xf>
    <xf numFmtId="10" fontId="4" fillId="0" borderId="11" xfId="0" applyNumberFormat="1" applyFont="1" applyBorder="1" applyAlignment="1">
      <alignment horizontal="center" vertical="center"/>
    </xf>
    <xf numFmtId="176" fontId="4" fillId="0" borderId="10" xfId="0" applyNumberFormat="1" applyFont="1" applyBorder="1" applyAlignment="1">
      <alignment horizontal="center" vertical="center"/>
    </xf>
    <xf numFmtId="38" fontId="4" fillId="0" borderId="11" xfId="1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38" fontId="4" fillId="0" borderId="0" xfId="1" applyFont="1" applyBorder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C167E-EBC0-DC4D-AE05-B3FB62A19451}">
  <sheetPr>
    <pageSetUpPr fitToPage="1"/>
  </sheetPr>
  <dimension ref="A1:P8"/>
  <sheetViews>
    <sheetView tabSelected="1" workbookViewId="0">
      <selection activeCell="A2" sqref="A2"/>
    </sheetView>
  </sheetViews>
  <sheetFormatPr baseColWidth="10" defaultRowHeight="20"/>
  <cols>
    <col min="1" max="1" width="3.28515625" style="2" customWidth="1"/>
    <col min="2" max="2" width="19.85546875" style="2" bestFit="1" customWidth="1"/>
    <col min="3" max="3" width="9.42578125" style="3" bestFit="1" customWidth="1"/>
    <col min="4" max="4" width="8.5703125" style="2" bestFit="1" customWidth="1"/>
    <col min="5" max="5" width="8.5703125" style="2" customWidth="1"/>
    <col min="6" max="6" width="24.7109375" style="2" bestFit="1" customWidth="1"/>
    <col min="7" max="7" width="7.85546875" style="2" bestFit="1" customWidth="1"/>
    <col min="8" max="8" width="6.85546875" style="2" bestFit="1" customWidth="1"/>
    <col min="9" max="9" width="5.140625" style="2" bestFit="1" customWidth="1"/>
    <col min="10" max="10" width="15.140625" style="2" bestFit="1" customWidth="1"/>
    <col min="11" max="12" width="8.5703125" style="2" bestFit="1" customWidth="1"/>
    <col min="13" max="15" width="15.7109375" style="3" bestFit="1" customWidth="1"/>
    <col min="16" max="16" width="37.140625" style="2" customWidth="1"/>
  </cols>
  <sheetData>
    <row r="1" spans="1:16" ht="24">
      <c r="A1" s="1" t="s">
        <v>27</v>
      </c>
    </row>
    <row r="2" spans="1:16" ht="21" thickBot="1">
      <c r="O2" s="4"/>
      <c r="P2" s="5" t="s">
        <v>0</v>
      </c>
    </row>
    <row r="3" spans="1:16" s="11" customFormat="1" ht="33" thickBot="1">
      <c r="A3" s="6"/>
      <c r="B3" s="7" t="s">
        <v>1</v>
      </c>
      <c r="C3" s="8" t="s">
        <v>2</v>
      </c>
      <c r="D3" s="9" t="s">
        <v>3</v>
      </c>
      <c r="E3" s="9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7" t="s">
        <v>9</v>
      </c>
      <c r="K3" s="9" t="s">
        <v>10</v>
      </c>
      <c r="L3" s="9" t="s">
        <v>11</v>
      </c>
      <c r="M3" s="8" t="s">
        <v>12</v>
      </c>
      <c r="N3" s="8" t="s">
        <v>13</v>
      </c>
      <c r="O3" s="8" t="s">
        <v>14</v>
      </c>
      <c r="P3" s="10" t="s">
        <v>15</v>
      </c>
    </row>
    <row r="4" spans="1:16" ht="48">
      <c r="A4" s="12">
        <v>1</v>
      </c>
      <c r="B4" s="13" t="s">
        <v>16</v>
      </c>
      <c r="C4" s="14">
        <v>27000000</v>
      </c>
      <c r="D4" s="15">
        <f>SUM(E4)*12/C4</f>
        <v>0.10097777777777778</v>
      </c>
      <c r="E4" s="16">
        <v>227200</v>
      </c>
      <c r="F4" s="13" t="s">
        <v>17</v>
      </c>
      <c r="G4" s="13" t="s">
        <v>18</v>
      </c>
      <c r="H4" s="13" t="s">
        <v>19</v>
      </c>
      <c r="I4" s="13">
        <v>10</v>
      </c>
      <c r="J4" s="13" t="s">
        <v>20</v>
      </c>
      <c r="K4" s="13">
        <v>148.76</v>
      </c>
      <c r="L4" s="13">
        <v>284.32</v>
      </c>
      <c r="M4" s="17">
        <f>SUM(N4:O4)</f>
        <v>7417521</v>
      </c>
      <c r="N4" s="14">
        <v>2475988</v>
      </c>
      <c r="O4" s="14">
        <v>4941533</v>
      </c>
      <c r="P4" s="18" t="s">
        <v>21</v>
      </c>
    </row>
    <row r="5" spans="1:16" ht="21" thickBot="1">
      <c r="A5" s="19">
        <v>2</v>
      </c>
      <c r="B5" s="20" t="s">
        <v>22</v>
      </c>
      <c r="C5" s="21">
        <v>79800000</v>
      </c>
      <c r="D5" s="22">
        <f t="shared" ref="D5" si="0">SUM(E5)*12/C5</f>
        <v>8.0225563909774436E-2</v>
      </c>
      <c r="E5" s="23">
        <v>533500</v>
      </c>
      <c r="F5" s="20" t="s">
        <v>23</v>
      </c>
      <c r="G5" s="20" t="s">
        <v>24</v>
      </c>
      <c r="H5" s="20" t="s">
        <v>25</v>
      </c>
      <c r="I5" s="20">
        <v>18</v>
      </c>
      <c r="J5" s="20" t="s">
        <v>26</v>
      </c>
      <c r="K5" s="20">
        <v>321.33</v>
      </c>
      <c r="L5" s="20">
        <v>400.56</v>
      </c>
      <c r="M5" s="24">
        <f t="shared" ref="M5" si="1">SUM(N5:O5)</f>
        <v>24550043</v>
      </c>
      <c r="N5" s="21">
        <v>13421422</v>
      </c>
      <c r="O5" s="21">
        <v>11128621</v>
      </c>
      <c r="P5" s="25"/>
    </row>
    <row r="6" spans="1:16">
      <c r="B6" s="26"/>
      <c r="C6" s="27"/>
      <c r="D6" s="28"/>
      <c r="E6" s="29"/>
      <c r="M6" s="27"/>
      <c r="N6" s="27"/>
      <c r="O6" s="27"/>
    </row>
    <row r="8" spans="1:16">
      <c r="A8" s="30"/>
    </row>
  </sheetData>
  <phoneticPr fontId="3"/>
  <pageMargins left="0.7" right="0.7" top="0.75" bottom="0.75" header="0.3" footer="0.3"/>
  <pageSetup paperSize="9" scale="50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売却物件一覧表（業者閲覧用）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圭一 太田</dc:creator>
  <cp:lastModifiedBy>圭一 太田</cp:lastModifiedBy>
  <dcterms:created xsi:type="dcterms:W3CDTF">2025-05-04T05:40:38Z</dcterms:created>
  <dcterms:modified xsi:type="dcterms:W3CDTF">2025-12-14T23:41:27Z</dcterms:modified>
</cp:coreProperties>
</file>