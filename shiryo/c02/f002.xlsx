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otakeiichi/Library/CloudStorage/GoogleDrive-prizmun.ota@gmail.com/マイドライブ/太田塾/２．目標設定（行動予定表）/"/>
    </mc:Choice>
  </mc:AlternateContent>
  <xr:revisionPtr revIDLastSave="0" documentId="13_ncr:1_{D013633B-FDA0-FB46-8CB8-E4F8E974F0FD}" xr6:coauthVersionLast="47" xr6:coauthVersionMax="47" xr10:uidLastSave="{00000000-0000-0000-0000-000000000000}"/>
  <bookViews>
    <workbookView xWindow="0" yWindow="500" windowWidth="33600" windowHeight="19520" xr2:uid="{409EB665-54C3-4CCA-8440-0870F5E4CCC8}"/>
  </bookViews>
  <sheets>
    <sheet name="一覧表" sheetId="2" r:id="rId1"/>
  </sheets>
  <definedNames>
    <definedName name="_xlnm.Print_Area" localSheetId="0">一覧表!$A$1:$H$31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H20" i="2"/>
  <c r="G20" i="2"/>
  <c r="F20" i="2"/>
  <c r="E20" i="2"/>
  <c r="C22" i="2"/>
  <c r="C20" i="2"/>
  <c r="D31" i="2"/>
  <c r="G31" i="2"/>
  <c r="C31" i="2"/>
  <c r="H21" i="2"/>
  <c r="H31" i="2" s="1"/>
  <c r="G21" i="2"/>
  <c r="C21" i="2"/>
  <c r="D20" i="2"/>
  <c r="D21" i="2" s="1"/>
  <c r="C19" i="2"/>
  <c r="F22" i="2"/>
  <c r="G19" i="2"/>
  <c r="H19" i="2"/>
  <c r="G22" i="2" l="1"/>
  <c r="G23" i="2" s="1"/>
  <c r="D22" i="2"/>
  <c r="D23" i="2" s="1"/>
  <c r="H23" i="2"/>
  <c r="E21" i="2"/>
  <c r="E31" i="2" s="1"/>
  <c r="E22" i="2"/>
  <c r="E23" i="2" s="1"/>
  <c r="C23" i="2"/>
  <c r="F23" i="2"/>
  <c r="F21" i="2"/>
  <c r="F31" i="2" s="1"/>
  <c r="D19" i="2" l="1"/>
  <c r="E19" i="2"/>
  <c r="F19" i="2"/>
</calcChain>
</file>

<file path=xl/sharedStrings.xml><?xml version="1.0" encoding="utf-8"?>
<sst xmlns="http://schemas.openxmlformats.org/spreadsheetml/2006/main" count="39" uniqueCount="35">
  <si>
    <t>棟数</t>
    <rPh sb="0" eb="2">
      <t>トウスウ</t>
    </rPh>
    <phoneticPr fontId="2"/>
  </si>
  <si>
    <t>戸数</t>
    <rPh sb="0" eb="2">
      <t>コスウ</t>
    </rPh>
    <phoneticPr fontId="2"/>
  </si>
  <si>
    <t>賃料/年</t>
    <rPh sb="0" eb="2">
      <t>チンリョウ</t>
    </rPh>
    <rPh sb="3" eb="4">
      <t>ネン</t>
    </rPh>
    <phoneticPr fontId="2"/>
  </si>
  <si>
    <t>賃料/月</t>
    <rPh sb="0" eb="2">
      <t>チンリョウ</t>
    </rPh>
    <rPh sb="3" eb="4">
      <t>ツキ</t>
    </rPh>
    <phoneticPr fontId="2"/>
  </si>
  <si>
    <t>キャッシュ/月</t>
    <rPh sb="6" eb="7">
      <t>ツキ</t>
    </rPh>
    <phoneticPr fontId="2"/>
  </si>
  <si>
    <t>キャッシュ/年</t>
    <rPh sb="6" eb="7">
      <t>ネン</t>
    </rPh>
    <phoneticPr fontId="2"/>
  </si>
  <si>
    <t>純増戸数</t>
    <rPh sb="0" eb="2">
      <t>ジュンゾウ</t>
    </rPh>
    <rPh sb="2" eb="4">
      <t>コスウ</t>
    </rPh>
    <phoneticPr fontId="2"/>
  </si>
  <si>
    <t>不動産</t>
    <rPh sb="0" eb="3">
      <t>フドウサン</t>
    </rPh>
    <phoneticPr fontId="2"/>
  </si>
  <si>
    <t>イベント</t>
    <phoneticPr fontId="2"/>
  </si>
  <si>
    <t>給与</t>
    <rPh sb="0" eb="2">
      <t>キュウヨ</t>
    </rPh>
    <phoneticPr fontId="2"/>
  </si>
  <si>
    <t>年収合計</t>
    <rPh sb="0" eb="2">
      <t>ネンシュウ</t>
    </rPh>
    <rPh sb="2" eb="4">
      <t>ゴウケイ</t>
    </rPh>
    <phoneticPr fontId="2"/>
  </si>
  <si>
    <t>結婚２０周年</t>
    <rPh sb="0" eb="2">
      <t>ケッコン</t>
    </rPh>
    <rPh sb="4" eb="6">
      <t>シュウネン</t>
    </rPh>
    <phoneticPr fontId="2"/>
  </si>
  <si>
    <t>令和７年</t>
    <rPh sb="0" eb="2">
      <t>レイワ</t>
    </rPh>
    <rPh sb="3" eb="4">
      <t>ネン</t>
    </rPh>
    <phoneticPr fontId="2"/>
  </si>
  <si>
    <t>令和８年</t>
    <rPh sb="0" eb="2">
      <t>レイワ</t>
    </rPh>
    <rPh sb="3" eb="4">
      <t>ネン</t>
    </rPh>
    <phoneticPr fontId="2"/>
  </si>
  <si>
    <t>令和９年</t>
    <rPh sb="0" eb="2">
      <t>レイワ</t>
    </rPh>
    <rPh sb="3" eb="4">
      <t>ネン</t>
    </rPh>
    <phoneticPr fontId="2"/>
  </si>
  <si>
    <t>令和１０年</t>
    <rPh sb="0" eb="2">
      <t>レイワ</t>
    </rPh>
    <rPh sb="4" eb="5">
      <t>ネン</t>
    </rPh>
    <phoneticPr fontId="2"/>
  </si>
  <si>
    <t>令和１１年</t>
    <rPh sb="0" eb="2">
      <t>レイワ</t>
    </rPh>
    <rPh sb="4" eb="5">
      <t>ネン</t>
    </rPh>
    <phoneticPr fontId="2"/>
  </si>
  <si>
    <t>令和１２年</t>
    <rPh sb="0" eb="2">
      <t>レイワ</t>
    </rPh>
    <rPh sb="4" eb="5">
      <t>ネン</t>
    </rPh>
    <phoneticPr fontId="2"/>
  </si>
  <si>
    <t>圭一</t>
    <rPh sb="0" eb="2">
      <t>ケイイチ</t>
    </rPh>
    <phoneticPr fontId="2"/>
  </si>
  <si>
    <t>勤人</t>
    <rPh sb="0" eb="1">
      <t xml:space="preserve">ツトメニン </t>
    </rPh>
    <phoneticPr fontId="2"/>
  </si>
  <si>
    <t>家族でアメリカ</t>
    <rPh sb="0" eb="2">
      <t xml:space="preserve">カゾクデ </t>
    </rPh>
    <phoneticPr fontId="2"/>
  </si>
  <si>
    <t>〇〇</t>
    <phoneticPr fontId="3"/>
  </si>
  <si>
    <t>〇〇</t>
    <phoneticPr fontId="2"/>
  </si>
  <si>
    <t>趣味１</t>
    <rPh sb="0" eb="1">
      <t xml:space="preserve">シュミ </t>
    </rPh>
    <phoneticPr fontId="3"/>
  </si>
  <si>
    <t>趣味２</t>
    <rPh sb="0" eb="1">
      <t xml:space="preserve">シュミ </t>
    </rPh>
    <phoneticPr fontId="3"/>
  </si>
  <si>
    <t>圭一</t>
    <rPh sb="0" eb="2">
      <t>ケイイチ</t>
    </rPh>
    <phoneticPr fontId="3"/>
  </si>
  <si>
    <t>事業</t>
    <rPh sb="0" eb="2">
      <t xml:space="preserve">ジギョウ </t>
    </rPh>
    <phoneticPr fontId="2"/>
  </si>
  <si>
    <t>売上</t>
    <rPh sb="0" eb="2">
      <t xml:space="preserve">ウリアゲ </t>
    </rPh>
    <phoneticPr fontId="2"/>
  </si>
  <si>
    <t>家族年齢</t>
    <phoneticPr fontId="2"/>
  </si>
  <si>
    <t>ライフサイクルプラン</t>
    <phoneticPr fontId="2"/>
  </si>
  <si>
    <t>高校入学</t>
    <rPh sb="0" eb="2">
      <t>コウコウ</t>
    </rPh>
    <rPh sb="2" eb="4">
      <t xml:space="preserve">ニュウガク </t>
    </rPh>
    <phoneticPr fontId="2"/>
  </si>
  <si>
    <t>中学入学</t>
    <rPh sb="0" eb="2">
      <t>チュウガク</t>
    </rPh>
    <rPh sb="2" eb="4">
      <t xml:space="preserve">ニュウガク </t>
    </rPh>
    <phoneticPr fontId="2"/>
  </si>
  <si>
    <t>車購入（○○）</t>
    <rPh sb="0" eb="1">
      <t xml:space="preserve">クルマ </t>
    </rPh>
    <rPh sb="1" eb="3">
      <t xml:space="preserve">コウニュウ </t>
    </rPh>
    <phoneticPr fontId="2"/>
  </si>
  <si>
    <t>事務所設立</t>
    <rPh sb="0" eb="3">
      <t xml:space="preserve">ジムショ </t>
    </rPh>
    <rPh sb="3" eb="5">
      <t xml:space="preserve">セツリツ </t>
    </rPh>
    <phoneticPr fontId="2"/>
  </si>
  <si>
    <t>宅建業取得</t>
    <rPh sb="0" eb="5">
      <t xml:space="preserve">タッケンギョウシュトク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</si>
</sst>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ggge&quot;年&quot;m&quot;月&quot;d&quot;日&quot;;@"/>
  </numFmts>
  <fonts count="1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2"/>
      <charset val="128"/>
    </font>
    <font>
      <sz val="14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sz val="20"/>
      <color theme="1"/>
      <name val="ＭＳ Ｐゴシック"/>
      <family val="3"/>
      <charset val="128"/>
    </font>
    <font>
      <sz val="20"/>
      <name val="ＭＳ Ｐゴシック"/>
      <family val="3"/>
      <charset val="128"/>
    </font>
    <font>
      <sz val="26"/>
      <color theme="1"/>
      <name val="ＭＳ Ｐゴシック"/>
      <family val="3"/>
      <charset val="128"/>
    </font>
    <font>
      <b/>
      <sz val="20"/>
      <color theme="1"/>
      <name val="ＭＳ Ｐゴシック"/>
      <family val="3"/>
      <charset val="128"/>
    </font>
    <font>
      <sz val="14"/>
      <name val="ＭＳ Ｐゴシック"/>
      <family val="2"/>
      <charset val="128"/>
    </font>
    <font>
      <b/>
      <sz val="14"/>
      <color rgb="FFFF0000"/>
      <name val="ＭＳ Ｐゴシック"/>
      <family val="3"/>
      <charset val="128"/>
    </font>
    <font>
      <sz val="14"/>
      <color theme="1"/>
      <name val="ＭＳ Ｐゴシック"/>
      <family val="2"/>
      <charset val="128"/>
    </font>
    <font>
      <sz val="14"/>
      <color rgb="FFFF0000"/>
      <name val="ＭＳ Ｐゴシック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/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8" fontId="6" fillId="0" borderId="3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38" fontId="5" fillId="2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/>
    <xf numFmtId="0" fontId="9" fillId="0" borderId="12" xfId="0" applyFont="1" applyBorder="1" applyAlignment="1">
      <alignment horizontal="left" vertical="center"/>
    </xf>
    <xf numFmtId="176" fontId="5" fillId="0" borderId="0" xfId="0" applyNumberFormat="1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38" fontId="5" fillId="2" borderId="19" xfId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38" fontId="6" fillId="0" borderId="18" xfId="0" applyNumberFormat="1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textRotation="255"/>
    </xf>
    <xf numFmtId="0" fontId="4" fillId="4" borderId="6" xfId="0" applyFont="1" applyFill="1" applyBorder="1" applyAlignment="1">
      <alignment horizontal="center" vertical="center" textRotation="255"/>
    </xf>
    <xf numFmtId="0" fontId="5" fillId="2" borderId="6" xfId="0" applyFont="1" applyFill="1" applyBorder="1" applyAlignment="1">
      <alignment horizontal="center" vertical="center" textRotation="255"/>
    </xf>
    <xf numFmtId="0" fontId="5" fillId="5" borderId="6" xfId="0" applyFont="1" applyFill="1" applyBorder="1" applyAlignment="1">
      <alignment horizontal="center" vertical="center" textRotation="255"/>
    </xf>
    <xf numFmtId="0" fontId="4" fillId="3" borderId="10" xfId="0" applyFont="1" applyFill="1" applyBorder="1" applyAlignment="1">
      <alignment horizontal="center" vertical="center" textRotation="255"/>
    </xf>
    <xf numFmtId="0" fontId="4" fillId="3" borderId="11" xfId="0" applyFont="1" applyFill="1" applyBorder="1" applyAlignment="1">
      <alignment horizontal="center" vertical="center" textRotation="255"/>
    </xf>
    <xf numFmtId="0" fontId="5" fillId="6" borderId="6" xfId="0" applyFont="1" applyFill="1" applyBorder="1" applyAlignment="1">
      <alignment horizontal="center" vertical="center" textRotation="255"/>
    </xf>
    <xf numFmtId="0" fontId="5" fillId="6" borderId="2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38" fontId="5" fillId="0" borderId="23" xfId="1" applyFont="1" applyFill="1" applyBorder="1" applyAlignment="1">
      <alignment horizontal="center" vertical="center"/>
    </xf>
    <xf numFmtId="38" fontId="5" fillId="0" borderId="25" xfId="1" applyFont="1" applyFill="1" applyBorder="1" applyAlignment="1">
      <alignment horizontal="center" vertical="center"/>
    </xf>
    <xf numFmtId="38" fontId="5" fillId="0" borderId="24" xfId="1" applyFont="1" applyFill="1" applyBorder="1" applyAlignment="1">
      <alignment horizontal="center" vertical="center"/>
    </xf>
    <xf numFmtId="38" fontId="5" fillId="5" borderId="19" xfId="1" applyFont="1" applyFill="1" applyBorder="1" applyAlignment="1">
      <alignment horizontal="center" vertical="center"/>
    </xf>
    <xf numFmtId="38" fontId="5" fillId="5" borderId="20" xfId="1" applyFont="1" applyFill="1" applyBorder="1" applyAlignment="1">
      <alignment horizontal="center" vertical="center"/>
    </xf>
    <xf numFmtId="38" fontId="5" fillId="5" borderId="1" xfId="1" applyFont="1" applyFill="1" applyBorder="1" applyAlignment="1">
      <alignment horizontal="center" vertical="center"/>
    </xf>
    <xf numFmtId="38" fontId="5" fillId="6" borderId="19" xfId="1" applyFont="1" applyFill="1" applyBorder="1" applyAlignment="1">
      <alignment horizontal="center" vertical="center"/>
    </xf>
    <xf numFmtId="38" fontId="5" fillId="6" borderId="20" xfId="1" applyFont="1" applyFill="1" applyBorder="1" applyAlignment="1">
      <alignment horizontal="center" vertical="center"/>
    </xf>
    <xf numFmtId="38" fontId="5" fillId="6" borderId="1" xfId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 textRotation="255"/>
    </xf>
    <xf numFmtId="0" fontId="5" fillId="0" borderId="2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3" fillId="3" borderId="19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FCB3-21E3-40F4-A361-44BF84AE5758}">
  <sheetPr>
    <pageSetUpPr fitToPage="1"/>
  </sheetPr>
  <dimension ref="A1:AW31"/>
  <sheetViews>
    <sheetView tabSelected="1" view="pageBreakPreview" zoomScaleNormal="55" zoomScaleSheetLayoutView="75" workbookViewId="0">
      <selection activeCell="E14" sqref="E14"/>
    </sheetView>
  </sheetViews>
  <sheetFormatPr baseColWidth="10" defaultColWidth="8.83203125" defaultRowHeight="18"/>
  <cols>
    <col min="1" max="1" width="5" style="2" bestFit="1" customWidth="1"/>
    <col min="2" max="2" width="19.5" style="2" bestFit="1" customWidth="1"/>
    <col min="3" max="3" width="22" style="2" bestFit="1" customWidth="1"/>
    <col min="4" max="4" width="19" style="2" customWidth="1"/>
    <col min="5" max="5" width="17" style="2" bestFit="1" customWidth="1"/>
    <col min="6" max="6" width="24.33203125" style="2" bestFit="1" customWidth="1"/>
    <col min="7" max="7" width="17" style="2" bestFit="1" customWidth="1"/>
    <col min="8" max="8" width="19" style="2" bestFit="1" customWidth="1"/>
    <col min="10" max="10" width="11.83203125" bestFit="1" customWidth="1"/>
  </cols>
  <sheetData>
    <row r="1" spans="1:49" ht="31">
      <c r="A1" s="83" t="s">
        <v>29</v>
      </c>
      <c r="B1" s="83"/>
      <c r="C1" s="83"/>
      <c r="H1" s="26">
        <v>45732</v>
      </c>
    </row>
    <row r="2" spans="1:49" ht="32" thickBot="1">
      <c r="A2" s="25"/>
      <c r="B2" s="25"/>
      <c r="C2" s="40"/>
      <c r="E2" s="30"/>
      <c r="F2" s="30"/>
      <c r="G2" s="30"/>
      <c r="H2" s="30"/>
    </row>
    <row r="3" spans="1:49" s="22" customFormat="1" ht="23.25" customHeight="1">
      <c r="A3" s="31"/>
      <c r="B3" s="32"/>
      <c r="C3" s="41">
        <v>2025</v>
      </c>
      <c r="D3" s="52">
        <v>2026</v>
      </c>
      <c r="E3" s="33">
        <v>2027</v>
      </c>
      <c r="F3" s="33">
        <v>2028</v>
      </c>
      <c r="G3" s="33">
        <v>2029</v>
      </c>
      <c r="H3" s="33">
        <v>2030</v>
      </c>
    </row>
    <row r="4" spans="1:49" s="22" customFormat="1" ht="25" thickBot="1">
      <c r="A4" s="34"/>
      <c r="B4" s="35"/>
      <c r="C4" s="42" t="s">
        <v>12</v>
      </c>
      <c r="D4" s="53" t="s">
        <v>13</v>
      </c>
      <c r="E4" s="36" t="s">
        <v>14</v>
      </c>
      <c r="F4" s="36" t="s">
        <v>15</v>
      </c>
      <c r="G4" s="36" t="s">
        <v>16</v>
      </c>
      <c r="H4" s="36" t="s">
        <v>17</v>
      </c>
    </row>
    <row r="5" spans="1:49" s="24" customFormat="1" ht="23.25" customHeight="1">
      <c r="A5" s="61" t="s">
        <v>28</v>
      </c>
      <c r="B5" s="39" t="s">
        <v>25</v>
      </c>
      <c r="C5" s="43">
        <v>43</v>
      </c>
      <c r="D5" s="54">
        <v>44</v>
      </c>
      <c r="E5" s="38">
        <v>45</v>
      </c>
      <c r="F5" s="37">
        <v>46</v>
      </c>
      <c r="G5" s="37">
        <v>47</v>
      </c>
      <c r="H5" s="37">
        <v>48</v>
      </c>
      <c r="I5" s="23"/>
      <c r="J5" s="22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</row>
    <row r="6" spans="1:49" s="3" customFormat="1" ht="23.25" customHeight="1">
      <c r="A6" s="62"/>
      <c r="B6" s="20" t="s">
        <v>21</v>
      </c>
      <c r="C6" s="44">
        <v>13</v>
      </c>
      <c r="D6" s="55">
        <v>14</v>
      </c>
      <c r="E6" s="19">
        <v>15</v>
      </c>
      <c r="F6" s="19">
        <v>16</v>
      </c>
      <c r="G6" s="19">
        <v>17</v>
      </c>
      <c r="H6" s="19">
        <v>18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s="3" customFormat="1" ht="23.25" customHeight="1">
      <c r="A7" s="62"/>
      <c r="B7" s="20" t="s">
        <v>21</v>
      </c>
      <c r="C7" s="44">
        <v>9</v>
      </c>
      <c r="D7" s="55">
        <v>10</v>
      </c>
      <c r="E7" s="19">
        <v>11</v>
      </c>
      <c r="F7" s="19">
        <v>12</v>
      </c>
      <c r="G7" s="19">
        <v>13</v>
      </c>
      <c r="H7" s="19">
        <v>14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s="3" customFormat="1" ht="23.25" customHeight="1">
      <c r="A8" s="62"/>
      <c r="B8" s="20" t="s">
        <v>21</v>
      </c>
      <c r="C8" s="44">
        <v>8</v>
      </c>
      <c r="D8" s="55">
        <v>9</v>
      </c>
      <c r="E8" s="19">
        <v>10</v>
      </c>
      <c r="F8" s="19">
        <v>11</v>
      </c>
      <c r="G8" s="19">
        <v>12</v>
      </c>
      <c r="H8" s="19">
        <v>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s="3" customFormat="1" ht="23.25" customHeight="1">
      <c r="A9" s="11"/>
      <c r="B9" s="7"/>
      <c r="C9" s="45"/>
      <c r="D9" s="56"/>
      <c r="E9" s="6"/>
      <c r="F9" s="6"/>
      <c r="G9" s="6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s="3" customFormat="1" ht="25" customHeight="1">
      <c r="A10" s="65" t="s">
        <v>8</v>
      </c>
      <c r="B10" s="15" t="s">
        <v>18</v>
      </c>
      <c r="C10" s="84" t="s">
        <v>33</v>
      </c>
      <c r="D10" s="85"/>
      <c r="E10" s="86" t="s">
        <v>34</v>
      </c>
      <c r="F10" s="87"/>
      <c r="G10" s="87"/>
      <c r="H10" s="87" t="s">
        <v>11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s="3" customFormat="1" ht="25" customHeight="1">
      <c r="A11" s="66"/>
      <c r="B11" s="15" t="s">
        <v>22</v>
      </c>
      <c r="C11" s="60"/>
      <c r="D11" s="88"/>
      <c r="E11" s="89"/>
      <c r="F11" s="87"/>
      <c r="G11" s="87"/>
      <c r="H11" s="8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s="3" customFormat="1" ht="25" customHeight="1">
      <c r="A12" s="66"/>
      <c r="B12" s="15" t="s">
        <v>22</v>
      </c>
      <c r="C12" s="60"/>
      <c r="D12" s="88"/>
      <c r="E12" s="89"/>
      <c r="F12" s="87" t="s">
        <v>30</v>
      </c>
      <c r="G12" s="87"/>
      <c r="H12" s="8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s="3" customFormat="1" ht="25" customHeight="1">
      <c r="A13" s="66"/>
      <c r="B13" s="15" t="s">
        <v>22</v>
      </c>
      <c r="C13" s="60"/>
      <c r="D13" s="88"/>
      <c r="E13" s="89"/>
      <c r="F13" s="88"/>
      <c r="G13" s="87" t="s">
        <v>31</v>
      </c>
      <c r="H13" s="8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s="3" customFormat="1" ht="25" customHeight="1">
      <c r="A14" s="66"/>
      <c r="B14" s="15" t="s">
        <v>23</v>
      </c>
      <c r="C14" s="60" t="s">
        <v>20</v>
      </c>
      <c r="D14" s="88"/>
      <c r="E14" s="87"/>
      <c r="F14" s="87"/>
      <c r="G14" s="87"/>
      <c r="H14" s="8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s="3" customFormat="1" ht="25" customHeight="1">
      <c r="A15" s="66"/>
      <c r="B15" s="15" t="s">
        <v>24</v>
      </c>
      <c r="C15" s="60"/>
      <c r="D15" s="88"/>
      <c r="E15" s="51"/>
      <c r="F15" s="87"/>
      <c r="G15" s="87" t="s">
        <v>32</v>
      </c>
      <c r="H15" s="87"/>
      <c r="I15" s="1"/>
      <c r="J15" s="1"/>
      <c r="K15" s="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s="3" customFormat="1" ht="23.25" customHeight="1">
      <c r="A16" s="11"/>
      <c r="B16" s="7"/>
      <c r="C16" s="45"/>
      <c r="D16" s="56"/>
      <c r="E16" s="6"/>
      <c r="F16" s="6"/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8" s="4" customFormat="1" ht="23.25" customHeight="1">
      <c r="A17" s="63" t="s">
        <v>7</v>
      </c>
      <c r="B17" s="16" t="s">
        <v>0</v>
      </c>
      <c r="C17" s="46">
        <v>5</v>
      </c>
      <c r="D17" s="57">
        <v>10</v>
      </c>
      <c r="E17" s="17">
        <v>15</v>
      </c>
      <c r="F17" s="17">
        <v>20</v>
      </c>
      <c r="G17" s="17">
        <v>25</v>
      </c>
      <c r="H17" s="17">
        <v>30</v>
      </c>
    </row>
    <row r="18" spans="1:8" s="29" customFormat="1" ht="23.25" customHeight="1">
      <c r="A18" s="63"/>
      <c r="B18" s="27" t="s">
        <v>1</v>
      </c>
      <c r="C18" s="47">
        <v>50</v>
      </c>
      <c r="D18" s="58">
        <v>100</v>
      </c>
      <c r="E18" s="28">
        <v>150</v>
      </c>
      <c r="F18" s="28">
        <v>200</v>
      </c>
      <c r="G18" s="28">
        <v>250</v>
      </c>
      <c r="H18" s="28">
        <v>300</v>
      </c>
    </row>
    <row r="19" spans="1:8" s="4" customFormat="1" ht="23.25" customHeight="1">
      <c r="A19" s="63"/>
      <c r="B19" s="16" t="s">
        <v>6</v>
      </c>
      <c r="C19" s="46" t="e">
        <f>SUM(C18-#REF!)</f>
        <v>#REF!</v>
      </c>
      <c r="D19" s="57">
        <f t="shared" ref="D19:F19" si="0">SUM(D18-C18)</f>
        <v>50</v>
      </c>
      <c r="E19" s="17">
        <f t="shared" si="0"/>
        <v>50</v>
      </c>
      <c r="F19" s="17">
        <f t="shared" si="0"/>
        <v>50</v>
      </c>
      <c r="G19" s="17">
        <f>SUM(G18-F18)</f>
        <v>50</v>
      </c>
      <c r="H19" s="17">
        <f t="shared" ref="H19" si="1">SUM(H18-G18)</f>
        <v>50</v>
      </c>
    </row>
    <row r="20" spans="1:8" s="4" customFormat="1" ht="23.25" customHeight="1">
      <c r="A20" s="63"/>
      <c r="B20" s="16" t="s">
        <v>3</v>
      </c>
      <c r="C20" s="48">
        <f>SUM(C18)*30000</f>
        <v>1500000</v>
      </c>
      <c r="D20" s="18">
        <f>SUM(D18)*35000</f>
        <v>3500000</v>
      </c>
      <c r="E20" s="18">
        <f>SUM(E18)*40000</f>
        <v>6000000</v>
      </c>
      <c r="F20" s="18">
        <f>SUM(F18)*45000</f>
        <v>9000000</v>
      </c>
      <c r="G20" s="18">
        <f>SUM(G18)*50000</f>
        <v>12500000</v>
      </c>
      <c r="H20" s="18">
        <f>SUM(H18)*50000</f>
        <v>15000000</v>
      </c>
    </row>
    <row r="21" spans="1:8" s="4" customFormat="1" ht="23.25" customHeight="1">
      <c r="A21" s="63"/>
      <c r="B21" s="16" t="s">
        <v>2</v>
      </c>
      <c r="C21" s="48">
        <f>SUM(C20)*12</f>
        <v>18000000</v>
      </c>
      <c r="D21" s="18">
        <f>SUM(D20)*12</f>
        <v>42000000</v>
      </c>
      <c r="E21" s="18">
        <f t="shared" ref="E21:F21" si="2">SUM(E20)*12</f>
        <v>72000000</v>
      </c>
      <c r="F21" s="18">
        <f t="shared" si="2"/>
        <v>108000000</v>
      </c>
      <c r="G21" s="18">
        <f>SUM(G20)*12</f>
        <v>150000000</v>
      </c>
      <c r="H21" s="18">
        <f t="shared" ref="H21" si="3">SUM(H20)*12</f>
        <v>180000000</v>
      </c>
    </row>
    <row r="22" spans="1:8" s="4" customFormat="1" ht="23.25" customHeight="1">
      <c r="A22" s="63"/>
      <c r="B22" s="16" t="s">
        <v>4</v>
      </c>
      <c r="C22" s="48">
        <f>SUM(C20)*0.3</f>
        <v>450000</v>
      </c>
      <c r="D22" s="18">
        <f>SUM(D20)*0.3</f>
        <v>1050000</v>
      </c>
      <c r="E22" s="18">
        <f>SUM(E20)*0.31</f>
        <v>1860000</v>
      </c>
      <c r="F22" s="18">
        <f>SUM(F20)*0.33</f>
        <v>2970000</v>
      </c>
      <c r="G22" s="18">
        <f>SUM(G20)*0.34</f>
        <v>4250000</v>
      </c>
      <c r="H22" s="18">
        <f>SUM(H20)*0.35</f>
        <v>5250000</v>
      </c>
    </row>
    <row r="23" spans="1:8" s="4" customFormat="1" ht="23.25" customHeight="1">
      <c r="A23" s="63"/>
      <c r="B23" s="16" t="s">
        <v>5</v>
      </c>
      <c r="C23" s="48">
        <f>SUM(C22)*12</f>
        <v>5400000</v>
      </c>
      <c r="D23" s="18">
        <f t="shared" ref="D23:E23" si="4">SUM(D22)*12</f>
        <v>12600000</v>
      </c>
      <c r="E23" s="18">
        <f t="shared" si="4"/>
        <v>22320000</v>
      </c>
      <c r="F23" s="18">
        <f t="shared" ref="F23" si="5">SUM(F22)*12</f>
        <v>35640000</v>
      </c>
      <c r="G23" s="18">
        <f t="shared" ref="G23" si="6">SUM(G22)*12</f>
        <v>51000000</v>
      </c>
      <c r="H23" s="18">
        <f t="shared" ref="H23" si="7">SUM(H22)*12</f>
        <v>63000000</v>
      </c>
    </row>
    <row r="24" spans="1:8" s="4" customFormat="1" ht="23.25" customHeight="1">
      <c r="A24" s="12"/>
      <c r="B24" s="9"/>
      <c r="C24" s="49"/>
      <c r="D24" s="59"/>
      <c r="E24" s="8"/>
      <c r="F24" s="8"/>
      <c r="G24" s="8"/>
      <c r="H24" s="8"/>
    </row>
    <row r="25" spans="1:8" s="4" customFormat="1" ht="23.25" customHeight="1">
      <c r="A25" s="64" t="s">
        <v>19</v>
      </c>
      <c r="B25" s="21" t="s">
        <v>9</v>
      </c>
      <c r="C25" s="75"/>
      <c r="D25" s="76"/>
      <c r="E25" s="77"/>
      <c r="F25" s="77"/>
      <c r="G25" s="77"/>
      <c r="H25" s="77"/>
    </row>
    <row r="26" spans="1:8" s="4" customFormat="1" ht="23.25" customHeight="1">
      <c r="A26" s="64"/>
      <c r="B26" s="21"/>
      <c r="C26" s="75"/>
      <c r="D26" s="76"/>
      <c r="E26" s="77"/>
      <c r="F26" s="77"/>
      <c r="G26" s="77"/>
      <c r="H26" s="77"/>
    </row>
    <row r="27" spans="1:8" s="4" customFormat="1" ht="23.25" customHeight="1">
      <c r="A27" s="12"/>
      <c r="B27" s="9"/>
      <c r="C27" s="69"/>
      <c r="D27" s="70"/>
      <c r="E27" s="71"/>
      <c r="F27" s="71"/>
      <c r="G27" s="71"/>
      <c r="H27" s="71"/>
    </row>
    <row r="28" spans="1:8" s="4" customFormat="1" ht="23.25" customHeight="1">
      <c r="A28" s="67" t="s">
        <v>26</v>
      </c>
      <c r="B28" s="68" t="s">
        <v>27</v>
      </c>
      <c r="C28" s="78"/>
      <c r="D28" s="79"/>
      <c r="E28" s="80"/>
      <c r="F28" s="80"/>
      <c r="G28" s="80"/>
      <c r="H28" s="80"/>
    </row>
    <row r="29" spans="1:8" s="4" customFormat="1" ht="23.25" customHeight="1">
      <c r="A29" s="67"/>
      <c r="B29" s="68"/>
      <c r="C29" s="78"/>
      <c r="D29" s="79"/>
      <c r="E29" s="80"/>
      <c r="F29" s="80"/>
      <c r="G29" s="80"/>
      <c r="H29" s="80"/>
    </row>
    <row r="30" spans="1:8" s="4" customFormat="1" ht="23.25" customHeight="1">
      <c r="A30" s="81"/>
      <c r="B30" s="82"/>
      <c r="C30" s="72"/>
      <c r="D30" s="73"/>
      <c r="E30" s="74"/>
      <c r="F30" s="74"/>
      <c r="G30" s="74"/>
      <c r="H30" s="74"/>
    </row>
    <row r="31" spans="1:8" s="5" customFormat="1" ht="23.25" customHeight="1" thickBot="1">
      <c r="A31" s="13"/>
      <c r="B31" s="14" t="s">
        <v>10</v>
      </c>
      <c r="C31" s="50">
        <f>SUM(C21+C25+C28)</f>
        <v>18000000</v>
      </c>
      <c r="D31" s="10">
        <f t="shared" ref="D31:H31" si="8">SUM(D21+D25+D28)</f>
        <v>42000000</v>
      </c>
      <c r="E31" s="10">
        <f t="shared" si="8"/>
        <v>72000000</v>
      </c>
      <c r="F31" s="10">
        <f t="shared" si="8"/>
        <v>108000000</v>
      </c>
      <c r="G31" s="10">
        <f t="shared" si="8"/>
        <v>150000000</v>
      </c>
      <c r="H31" s="10">
        <f t="shared" si="8"/>
        <v>180000000</v>
      </c>
    </row>
  </sheetData>
  <mergeCells count="5">
    <mergeCell ref="A28:A29"/>
    <mergeCell ref="A5:A8"/>
    <mergeCell ref="A17:A23"/>
    <mergeCell ref="A25:A26"/>
    <mergeCell ref="A10:A15"/>
  </mergeCells>
  <phoneticPr fontId="2"/>
  <printOptions horizontalCentered="1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一覧表</vt:lpstr>
      <vt:lpstr>一覧表!Print_Area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圭一 太田</cp:lastModifiedBy>
  <cp:lastPrinted>2025-03-15T23:41:52Z</cp:lastPrinted>
  <dcterms:created xsi:type="dcterms:W3CDTF">2019-10-07T21:36:11Z</dcterms:created>
  <dcterms:modified xsi:type="dcterms:W3CDTF">2025-04-13T00:51:44Z</dcterms:modified>
</cp:coreProperties>
</file>