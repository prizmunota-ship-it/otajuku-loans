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太田塾/２．目標設定（行動予定表）/"/>
    </mc:Choice>
  </mc:AlternateContent>
  <xr:revisionPtr revIDLastSave="0" documentId="8_{C74D1DB2-6BFA-4C43-8897-71B6FFF3F7D4}" xr6:coauthVersionLast="47" xr6:coauthVersionMax="47" xr10:uidLastSave="{00000000-0000-0000-0000-000000000000}"/>
  <bookViews>
    <workbookView xWindow="0" yWindow="500" windowWidth="33600" windowHeight="19520" xr2:uid="{2914A44F-AE12-B44F-9BA3-B3E2AA16F39D}"/>
  </bookViews>
  <sheets>
    <sheet name="2026年" sheetId="1" r:id="rId1"/>
  </sheets>
  <definedNames>
    <definedName name="_xlnm.Print_Area" localSheetId="0">'2026年'!$A$1:$P$21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" i="1" l="1"/>
  <c r="F21" i="1" s="1"/>
  <c r="G21" i="1" l="1"/>
  <c r="H21" i="1" s="1"/>
  <c r="I21" i="1" s="1"/>
  <c r="J21" i="1" s="1"/>
  <c r="K21" i="1" s="1"/>
  <c r="L21" i="1" s="1"/>
  <c r="M21" i="1" s="1"/>
  <c r="N21" i="1" s="1"/>
  <c r="O21" i="1" s="1"/>
</calcChain>
</file>

<file path=xl/sharedStrings.xml><?xml version="1.0" encoding="utf-8"?>
<sst xmlns="http://schemas.openxmlformats.org/spreadsheetml/2006/main" count="87" uniqueCount="58">
  <si>
    <t>行動計画表</t>
    <rPh sb="0" eb="5">
      <t>コウドウケイカクヒョウ</t>
    </rPh>
    <phoneticPr fontId="5"/>
  </si>
  <si>
    <t>１月</t>
    <phoneticPr fontId="5"/>
  </si>
  <si>
    <t>２月</t>
  </si>
  <si>
    <t>３月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</si>
  <si>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</si>
  <si>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</si>
  <si>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</si>
  <si>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</si>
  <si>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</si>
  <si>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</si>
  <si>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</si>
  <si>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</si>
  <si>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</si>
  <si>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単位/万円</t>
    <rPh sb="0" eb="2">
      <t>タンイ</t>
    </rPh>
    <rPh sb="3" eb="5">
      <t>マンエン</t>
    </rPh>
    <phoneticPr fontId="5"/>
  </si>
  <si>
    <t>数値計画</t>
    <rPh sb="0" eb="2">
      <t>スウチ</t>
    </rPh>
    <rPh sb="2" eb="4">
      <t>ケイカク</t>
    </rPh>
    <phoneticPr fontId="5"/>
  </si>
  <si>
    <t>年間満室賃料収入</t>
    <rPh sb="0" eb="2">
      <t>ネンカン</t>
    </rPh>
    <rPh sb="2" eb="4">
      <t>マンシツ</t>
    </rPh>
    <rPh sb="4" eb="8">
      <t>チンリョウシュウニュウ</t>
    </rPh>
    <phoneticPr fontId="5"/>
  </si>
  <si>
    <t>年間満室キャッシュフロー</t>
    <rPh sb="0" eb="2">
      <t>ネンカン</t>
    </rPh>
    <rPh sb="2" eb="4">
      <t>マンシツ</t>
    </rPh>
    <phoneticPr fontId="5"/>
  </si>
  <si>
    <t>資金調達（借入）</t>
    <rPh sb="0" eb="4">
      <t>シキンチョウタツ</t>
    </rPh>
    <rPh sb="5" eb="7">
      <t>カリイレ</t>
    </rPh>
    <phoneticPr fontId="5"/>
  </si>
  <si>
    <t>資金調達（賃収・その他）</t>
    <rPh sb="0" eb="4">
      <t>シキンチョウタツ</t>
    </rPh>
    <rPh sb="5" eb="6">
      <t>チン</t>
    </rPh>
    <rPh sb="6" eb="7">
      <t>オサム</t>
    </rPh>
    <rPh sb="10" eb="11">
      <t>タ</t>
    </rPh>
    <phoneticPr fontId="5"/>
  </si>
  <si>
    <t>支出（工事費等・購入時）</t>
    <rPh sb="0" eb="2">
      <t>シシュツ</t>
    </rPh>
    <rPh sb="3" eb="6">
      <t xml:space="preserve">コウジヒトウ </t>
    </rPh>
    <rPh sb="6" eb="7">
      <t xml:space="preserve">トウ </t>
    </rPh>
    <rPh sb="8" eb="11">
      <t>コウニュウジ</t>
    </rPh>
    <phoneticPr fontId="5"/>
  </si>
  <si>
    <t>自己資金</t>
    <rPh sb="0" eb="4">
      <t xml:space="preserve">ジコシキン </t>
    </rPh>
    <phoneticPr fontId="5"/>
  </si>
  <si>
    <t>※借入の５％以上は預金を入れておく</t>
    <rPh sb="1" eb="3">
      <t xml:space="preserve">カリイレ </t>
    </rPh>
    <rPh sb="6" eb="8">
      <t xml:space="preserve">イジョウ </t>
    </rPh>
    <rPh sb="9" eb="11">
      <t xml:space="preserve">ヨキン </t>
    </rPh>
    <rPh sb="12" eb="13">
      <t xml:space="preserve">イレテオク </t>
    </rPh>
    <phoneticPr fontId="4"/>
  </si>
  <si>
    <t>※無担保は借入の５％〜１０％にしておく</t>
    <rPh sb="0" eb="1">
      <t>※</t>
    </rPh>
    <rPh sb="1" eb="4">
      <t xml:space="preserve">ムタンポ </t>
    </rPh>
    <rPh sb="5" eb="7">
      <t xml:space="preserve">カリイレ </t>
    </rPh>
    <phoneticPr fontId="4"/>
  </si>
  <si>
    <t>３月</t>
    <phoneticPr fontId="4"/>
  </si>
  <si>
    <t>２０２６年</t>
    <rPh sb="4" eb="5">
      <t xml:space="preserve">ネン </t>
    </rPh>
    <phoneticPr fontId="5"/>
  </si>
  <si>
    <t>RCを持ち込むことを意図する（６０年ー築年数）
※自己資金が必要なので、３０年くらいの高利回りRC</t>
    <rPh sb="3" eb="4">
      <t xml:space="preserve">モチコム </t>
    </rPh>
    <rPh sb="10" eb="12">
      <t xml:space="preserve">イトスル </t>
    </rPh>
    <rPh sb="17" eb="18">
      <t xml:space="preserve">ネン </t>
    </rPh>
    <rPh sb="19" eb="22">
      <t xml:space="preserve">チクネンスウ </t>
    </rPh>
    <rPh sb="25" eb="29">
      <t xml:space="preserve">ジコシキンガ </t>
    </rPh>
    <rPh sb="30" eb="32">
      <t xml:space="preserve">ヒツヨウ </t>
    </rPh>
    <rPh sb="38" eb="39">
      <t xml:space="preserve">ネン </t>
    </rPh>
    <rPh sb="43" eb="46">
      <t xml:space="preserve">コウリマワリ </t>
    </rPh>
    <phoneticPr fontId="4"/>
  </si>
  <si>
    <t>RC融資年数＝４７-築年数＋（築年数×２０％）
新築木造は３５年引ける　東京カンテイ
法人はいつでも相談可能　個人もOK（購入後１年経過）</t>
    <rPh sb="0" eb="2">
      <t xml:space="preserve">ホウジン </t>
    </rPh>
    <rPh sb="7" eb="9">
      <t xml:space="preserve">ソウダン </t>
    </rPh>
    <rPh sb="9" eb="11">
      <t xml:space="preserve">カノウ </t>
    </rPh>
    <rPh sb="12" eb="14">
      <t xml:space="preserve">コジン </t>
    </rPh>
    <rPh sb="18" eb="21">
      <t xml:space="preserve">コウニュウゴ </t>
    </rPh>
    <rPh sb="22" eb="23">
      <t xml:space="preserve">ネン </t>
    </rPh>
    <rPh sb="23" eb="25">
      <t xml:space="preserve">ケイカ </t>
    </rPh>
    <rPh sb="36" eb="38">
      <t xml:space="preserve">トウキョウ </t>
    </rPh>
    <phoneticPr fontId="4"/>
  </si>
  <si>
    <t>A銀行</t>
    <rPh sb="1" eb="3">
      <t xml:space="preserve">ギンコウ </t>
    </rPh>
    <phoneticPr fontId="4"/>
  </si>
  <si>
    <t>B銀行</t>
    <rPh sb="1" eb="3">
      <t xml:space="preserve">ギンコウ </t>
    </rPh>
    <phoneticPr fontId="4"/>
  </si>
  <si>
    <t>C銀行</t>
    <rPh sb="1" eb="3">
      <t xml:space="preserve">ギンコウ </t>
    </rPh>
    <phoneticPr fontId="4"/>
  </si>
  <si>
    <t>D銀行</t>
    <rPh sb="1" eb="3">
      <t xml:space="preserve">ギンコウ </t>
    </rPh>
    <phoneticPr fontId="5"/>
  </si>
  <si>
    <t>E銀行</t>
    <rPh sb="1" eb="3">
      <t xml:space="preserve">ギンコウ </t>
    </rPh>
    <phoneticPr fontId="5"/>
  </si>
  <si>
    <t>〇〇か○○エリアでRC築２０年代を相談</t>
    <rPh sb="11" eb="12">
      <t xml:space="preserve">チク </t>
    </rPh>
    <rPh sb="14" eb="16">
      <t xml:space="preserve">ネンダイ </t>
    </rPh>
    <rPh sb="17" eb="19">
      <t xml:space="preserve">ソウダン </t>
    </rPh>
    <phoneticPr fontId="4"/>
  </si>
  <si>
    <t>○○か○○エリアで築２０年代RCを相談
ハザードマップを要確認</t>
    <rPh sb="9" eb="10">
      <t xml:space="preserve">チク </t>
    </rPh>
    <rPh sb="12" eb="14">
      <t xml:space="preserve">ネンダイ </t>
    </rPh>
    <rPh sb="17" eb="19">
      <t xml:space="preserve">ソウダン </t>
    </rPh>
    <rPh sb="28" eb="31">
      <t xml:space="preserve">ヨウカクニン </t>
    </rPh>
    <phoneticPr fontId="4"/>
  </si>
  <si>
    <t>定期預金キャンペーン時に預金</t>
    <rPh sb="0" eb="4">
      <t xml:space="preserve">テイキヨキン </t>
    </rPh>
    <rPh sb="10" eb="11">
      <t xml:space="preserve">ジ </t>
    </rPh>
    <rPh sb="12" eb="14">
      <t xml:space="preserve">ヨキン </t>
    </rPh>
    <phoneticPr fontId="4"/>
  </si>
  <si>
    <t>新築木造計画</t>
    <rPh sb="0" eb="2">
      <t xml:space="preserve">シンチク </t>
    </rPh>
    <rPh sb="2" eb="4">
      <t xml:space="preserve">モクゾウ </t>
    </rPh>
    <rPh sb="4" eb="6">
      <t xml:space="preserve">ケイカク </t>
    </rPh>
    <phoneticPr fontId="5"/>
  </si>
  <si>
    <t>定期預金キャンペーンで口座開設</t>
    <rPh sb="0" eb="1">
      <t xml:space="preserve">テイキ </t>
    </rPh>
    <rPh sb="2" eb="3">
      <t xml:space="preserve">ヨキン </t>
    </rPh>
    <rPh sb="4" eb="5">
      <t>キャンペーン</t>
    </rPh>
    <rPh sb="11" eb="15">
      <t xml:space="preserve">コウザカイセツ </t>
    </rPh>
    <phoneticPr fontId="4"/>
  </si>
  <si>
    <t>○○年記念のキャンペーン融資に取り組む</t>
    <rPh sb="2" eb="3">
      <t xml:space="preserve">ネン </t>
    </rPh>
    <rPh sb="3" eb="5">
      <t xml:space="preserve">キネンノ </t>
    </rPh>
    <rPh sb="12" eb="14">
      <t xml:space="preserve">ユウシ </t>
    </rPh>
    <rPh sb="15" eb="16">
      <t xml:space="preserve">トリクム </t>
    </rPh>
    <phoneticPr fontId="4"/>
  </si>
  <si>
    <t>自己資金１割必須。立地（駅、坂、土地評価）　</t>
    <rPh sb="0" eb="4">
      <t>ジコシキン</t>
    </rPh>
    <rPh sb="5" eb="6">
      <t>ワリ</t>
    </rPh>
    <rPh sb="6" eb="8">
      <t>ヒッス</t>
    </rPh>
    <rPh sb="9" eb="11">
      <t xml:space="preserve">リッチ </t>
    </rPh>
    <rPh sb="12" eb="13">
      <t xml:space="preserve">エキ </t>
    </rPh>
    <rPh sb="14" eb="15">
      <t xml:space="preserve">サカ </t>
    </rPh>
    <rPh sb="16" eb="18">
      <t xml:space="preserve">トチ </t>
    </rPh>
    <rPh sb="18" eb="20">
      <t xml:space="preserve">ヒョウカ </t>
    </rPh>
    <phoneticPr fontId="5"/>
  </si>
  <si>
    <t>物件相談
２,０００万
３００万</t>
    <rPh sb="0" eb="2">
      <t xml:space="preserve">ブッケン </t>
    </rPh>
    <rPh sb="2" eb="4">
      <t xml:space="preserve">ソウダン </t>
    </rPh>
    <phoneticPr fontId="4"/>
  </si>
  <si>
    <t>物件相談
３,０００万
４００万</t>
    <rPh sb="0" eb="2">
      <t xml:space="preserve">ブッケン </t>
    </rPh>
    <rPh sb="2" eb="4">
      <t xml:space="preserve">ソウダン </t>
    </rPh>
    <phoneticPr fontId="4"/>
  </si>
  <si>
    <t>融資相談
４,０００万
５００万</t>
    <rPh sb="0" eb="4">
      <t xml:space="preserve">ユウシソウダン </t>
    </rPh>
    <rPh sb="10" eb="11">
      <t>_x0000__x0000__x0004_</t>
    </rPh>
    <rPh sb="15" eb="16">
      <t/>
    </rPh>
    <phoneticPr fontId="4"/>
  </si>
  <si>
    <t>物件相談
５,０００万
６００万</t>
    <rPh sb="0" eb="2">
      <t xml:space="preserve">ブッケン </t>
    </rPh>
    <rPh sb="2" eb="4">
      <t xml:space="preserve">ソウダン </t>
    </rPh>
    <phoneticPr fontId="4"/>
  </si>
  <si>
    <t>融資相談
６,０００万
７００万</t>
    <rPh sb="0" eb="4">
      <t xml:space="preserve">ユウシソウダン </t>
    </rPh>
    <rPh sb="10" eb="11">
      <t>_x0000__x0000__x0004_</t>
    </rPh>
    <rPh sb="15" eb="16">
      <t/>
    </rPh>
    <phoneticPr fontId="4"/>
  </si>
  <si>
    <t>相談内容
←物件価格（融資額）
←自己資金</t>
    <rPh sb="0" eb="4">
      <t xml:space="preserve">ソウダンナイヨウ </t>
    </rPh>
    <rPh sb="5" eb="9">
      <t xml:space="preserve">ブッケンカカク </t>
    </rPh>
    <rPh sb="10" eb="13">
      <t xml:space="preserve">ユウシガク </t>
    </rPh>
    <rPh sb="16" eb="20">
      <t xml:space="preserve">ジコシキン </t>
    </rPh>
    <phoneticPr fontId="4"/>
  </si>
  <si>
    <t>金融機関（既存）</t>
    <rPh sb="0" eb="2">
      <t>キンユウ</t>
    </rPh>
    <rPh sb="2" eb="4">
      <t>キカン</t>
    </rPh>
    <rPh sb="5" eb="7">
      <t xml:space="preserve">キゾン </t>
    </rPh>
    <phoneticPr fontId="5"/>
  </si>
  <si>
    <t>金融機関（新規）</t>
    <rPh sb="0" eb="2">
      <t>キンユウ</t>
    </rPh>
    <rPh sb="2" eb="4">
      <t>キカン</t>
    </rPh>
    <rPh sb="5" eb="7">
      <t xml:space="preserve">シンキ </t>
    </rPh>
    <phoneticPr fontId="5"/>
  </si>
  <si>
    <t>１４
（＋８）</t>
    <phoneticPr fontId="4"/>
  </si>
  <si>
    <t>２２
（＋８）</t>
    <phoneticPr fontId="4"/>
  </si>
  <si>
    <t>３２
（＋１０）</t>
    <phoneticPr fontId="4"/>
  </si>
  <si>
    <t>５０
（＋１８）</t>
    <phoneticPr fontId="4"/>
  </si>
  <si>
    <t>所有戸数（室数）</t>
    <rPh sb="0" eb="4">
      <t>ショユウコスウ</t>
    </rPh>
    <rPh sb="5" eb="7">
      <t xml:space="preserve">シツスウ </t>
    </rPh>
    <phoneticPr fontId="5"/>
  </si>
  <si>
    <t>目安として</t>
    <rPh sb="0" eb="2">
      <t xml:space="preserve">メヤストシテ </t>
    </rPh>
    <phoneticPr fontId="4"/>
  </si>
  <si>
    <t>金利○。○％　５０年-耐用年数</t>
    <rPh sb="0" eb="2">
      <t>キンリ</t>
    </rPh>
    <rPh sb="9" eb="10">
      <t>ネン</t>
    </rPh>
    <rPh sb="11" eb="15">
      <t>タイヨウネンスウ</t>
    </rPh>
    <phoneticPr fontId="5"/>
  </si>
  <si>
    <t>備忘・準備</t>
    <rPh sb="0" eb="2">
      <t xml:space="preserve">ビボウ </t>
    </rPh>
    <rPh sb="3" eb="5">
      <t xml:space="preserve">ジュンビ </t>
    </rPh>
    <phoneticPr fontId="5"/>
  </si>
  <si>
    <t>特記事項</t>
    <rPh sb="0" eb="2">
      <t>トッキ</t>
    </rPh>
    <rPh sb="2" eb="4">
      <t>ジコウ</t>
    </rPh>
    <phoneticPr fontId="5"/>
  </si>
  <si>
    <t>○○支店と取引する（原則融資額が多い支店）</t>
    <rPh sb="2" eb="4">
      <t xml:space="preserve">シテン </t>
    </rPh>
    <rPh sb="5" eb="7">
      <t xml:space="preserve">トリヒキスル </t>
    </rPh>
    <rPh sb="10" eb="12">
      <t xml:space="preserve">ゲンソク </t>
    </rPh>
    <rPh sb="12" eb="15">
      <t xml:space="preserve">ユウシガク </t>
    </rPh>
    <rPh sb="16" eb="17">
      <t xml:space="preserve">オオイ </t>
    </rPh>
    <rPh sb="18" eb="20">
      <t xml:space="preserve">シテン </t>
    </rPh>
    <phoneticPr fontId="4"/>
  </si>
  <si>
    <t>新築木造、築浅RC、福岡市内の物件（土地評価）　○○カンテイ評価</t>
    <rPh sb="30" eb="32">
      <t xml:space="preserve">ヒョウカ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</si>
</sst>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22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2"/>
      <charset val="128"/>
    </font>
    <font>
      <sz val="14"/>
      <color theme="1"/>
      <name val="ＭＳ Ｐゴシック"/>
      <family val="2"/>
      <charset val="128"/>
    </font>
    <font>
      <sz val="22"/>
      <color theme="1"/>
      <name val="ＭＳ Ｐゴシック"/>
      <family val="2"/>
      <charset val="128"/>
    </font>
    <font>
      <sz val="18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sz val="16"/>
      <color rgb="FFFF0000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b/>
      <sz val="12"/>
      <color rgb="FFFF0000"/>
      <name val="ＭＳ Ｐゴシック"/>
      <family val="2"/>
      <charset val="128"/>
    </font>
    <font>
      <sz val="20"/>
      <color theme="1"/>
      <name val="ＭＳ Ｐゴシック"/>
      <family val="2"/>
      <charset val="128"/>
    </font>
    <font>
      <sz val="12"/>
      <color rgb="FFFF0000"/>
      <name val="ＭＳ Ｐゴシック"/>
      <family val="2"/>
      <charset val="128"/>
    </font>
    <font>
      <b/>
      <sz val="20"/>
      <color theme="1"/>
      <name val="ＭＳ Ｐゴシック"/>
      <family val="2"/>
      <charset val="128"/>
    </font>
    <font>
      <b/>
      <sz val="20"/>
      <color rgb="FFFF0000"/>
      <name val="ＭＳ Ｐゴシック"/>
      <family val="2"/>
      <charset val="128"/>
    </font>
    <font>
      <sz val="20"/>
      <color rgb="FF000000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16"/>
      <name val="ＭＳ Ｐゴシック"/>
      <family val="2"/>
      <charset val="128"/>
    </font>
    <font>
      <b/>
      <sz val="16"/>
      <color rgb="FFFF0000"/>
      <name val="ＭＳ Ｐゴシック"/>
      <family val="2"/>
      <charset val="128"/>
    </font>
    <font>
      <sz val="24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58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58" fontId="8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>
      <alignment vertical="center"/>
    </xf>
    <xf numFmtId="0" fontId="6" fillId="0" borderId="15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6" fillId="0" borderId="24" xfId="0" applyFont="1" applyBorder="1" applyAlignment="1">
      <alignment horizontal="center" vertical="center"/>
    </xf>
    <xf numFmtId="0" fontId="9" fillId="0" borderId="24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176" fontId="9" fillId="0" borderId="21" xfId="1" applyNumberFormat="1" applyFont="1" applyFill="1" applyBorder="1" applyAlignment="1">
      <alignment horizontal="center" vertical="center"/>
    </xf>
    <xf numFmtId="0" fontId="9" fillId="0" borderId="35" xfId="0" applyFont="1" applyBorder="1">
      <alignment vertical="center"/>
    </xf>
    <xf numFmtId="176" fontId="9" fillId="0" borderId="37" xfId="1" applyNumberFormat="1" applyFont="1" applyFill="1" applyBorder="1" applyAlignment="1">
      <alignment horizontal="center"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6" fontId="9" fillId="0" borderId="29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9" fillId="0" borderId="17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176" fontId="9" fillId="0" borderId="20" xfId="1" applyNumberFormat="1" applyFont="1" applyFill="1" applyBorder="1" applyAlignment="1">
      <alignment horizontal="center" vertical="center"/>
    </xf>
    <xf numFmtId="176" fontId="9" fillId="0" borderId="36" xfId="1" applyNumberFormat="1" applyFont="1" applyFill="1" applyBorder="1" applyAlignment="1">
      <alignment horizontal="center" vertical="center"/>
    </xf>
    <xf numFmtId="176" fontId="9" fillId="0" borderId="27" xfId="1" applyNumberFormat="1" applyFont="1" applyFill="1" applyBorder="1" applyAlignment="1">
      <alignment horizontal="center" vertical="center"/>
    </xf>
    <xf numFmtId="0" fontId="16" fillId="0" borderId="34" xfId="0" applyFont="1" applyBorder="1">
      <alignment vertical="center"/>
    </xf>
    <xf numFmtId="0" fontId="18" fillId="0" borderId="40" xfId="0" applyFont="1" applyBorder="1">
      <alignment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76" fontId="9" fillId="0" borderId="19" xfId="1" applyNumberFormat="1" applyFont="1" applyFill="1" applyBorder="1" applyAlignment="1">
      <alignment horizontal="center" vertical="center"/>
    </xf>
    <xf numFmtId="38" fontId="9" fillId="0" borderId="23" xfId="1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9" fillId="0" borderId="41" xfId="0" applyFont="1" applyBorder="1">
      <alignment vertical="center"/>
    </xf>
    <xf numFmtId="0" fontId="12" fillId="0" borderId="41" xfId="0" applyFont="1" applyBorder="1">
      <alignment vertical="center"/>
    </xf>
    <xf numFmtId="0" fontId="9" fillId="0" borderId="15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vertical="center" wrapText="1"/>
    </xf>
    <xf numFmtId="0" fontId="9" fillId="0" borderId="20" xfId="0" applyFont="1" applyFill="1" applyBorder="1" applyAlignment="1">
      <alignment vertical="center" wrapText="1"/>
    </xf>
    <xf numFmtId="0" fontId="21" fillId="0" borderId="28" xfId="0" applyFont="1" applyFill="1" applyBorder="1" applyAlignment="1">
      <alignment vertical="center" wrapText="1"/>
    </xf>
    <xf numFmtId="0" fontId="9" fillId="0" borderId="28" xfId="0" applyFont="1" applyFill="1" applyBorder="1" applyAlignment="1">
      <alignment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176" fontId="9" fillId="0" borderId="18" xfId="1" applyNumberFormat="1" applyFont="1" applyFill="1" applyBorder="1" applyAlignment="1">
      <alignment horizontal="center" vertical="center"/>
    </xf>
    <xf numFmtId="176" fontId="9" fillId="0" borderId="22" xfId="1" applyNumberFormat="1" applyFont="1" applyFill="1" applyBorder="1" applyAlignment="1">
      <alignment horizontal="center" vertical="center"/>
    </xf>
    <xf numFmtId="176" fontId="9" fillId="0" borderId="26" xfId="1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Fill="1" applyBorder="1" applyAlignment="1">
      <alignment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9" fillId="0" borderId="23" xfId="0" applyFont="1" applyFill="1" applyBorder="1" applyAlignment="1">
      <alignment horizontal="center" vertical="center" wrapText="1"/>
    </xf>
    <xf numFmtId="0" fontId="12" fillId="0" borderId="0" xfId="0" applyFont="1" applyBorder="1">
      <alignment vertical="center"/>
    </xf>
    <xf numFmtId="0" fontId="16" fillId="0" borderId="0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1C63-32E2-0549-9E5C-4E9997F901AA}">
  <sheetPr>
    <pageSetUpPr fitToPage="1"/>
  </sheetPr>
  <dimension ref="A2:S62"/>
  <sheetViews>
    <sheetView tabSelected="1" view="pageBreakPreview" zoomScale="83" zoomScaleNormal="66" zoomScaleSheetLayoutView="70" workbookViewId="0">
      <selection activeCell="E21" sqref="E21"/>
    </sheetView>
  </sheetViews>
  <sheetFormatPr baseColWidth="10" defaultColWidth="8.83203125" defaultRowHeight="18"/>
  <cols>
    <col min="1" max="1" width="5.1640625" style="3" customWidth="1"/>
    <col min="2" max="2" width="21.83203125" style="30" customWidth="1"/>
    <col min="3" max="3" width="45.5" style="31" bestFit="1" customWidth="1"/>
    <col min="4" max="15" width="10.83203125" style="30" customWidth="1"/>
    <col min="16" max="16" width="60.83203125" style="31" bestFit="1" customWidth="1"/>
    <col min="17" max="17" width="12.5" style="8" customWidth="1"/>
    <col min="18" max="18" width="34" customWidth="1"/>
    <col min="255" max="255" width="3.33203125" customWidth="1"/>
    <col min="256" max="257" width="5.1640625" customWidth="1"/>
    <col min="258" max="258" width="21.83203125" customWidth="1"/>
    <col min="259" max="259" width="32" bestFit="1" customWidth="1"/>
    <col min="260" max="271" width="10.83203125" customWidth="1"/>
    <col min="272" max="272" width="60.83203125" bestFit="1" customWidth="1"/>
    <col min="511" max="511" width="3.33203125" customWidth="1"/>
    <col min="512" max="513" width="5.1640625" customWidth="1"/>
    <col min="514" max="514" width="21.83203125" customWidth="1"/>
    <col min="515" max="515" width="32" bestFit="1" customWidth="1"/>
    <col min="516" max="527" width="10.83203125" customWidth="1"/>
    <col min="528" max="528" width="60.83203125" bestFit="1" customWidth="1"/>
    <col min="767" max="767" width="3.33203125" customWidth="1"/>
    <col min="768" max="769" width="5.1640625" customWidth="1"/>
    <col min="770" max="770" width="21.83203125" customWidth="1"/>
    <col min="771" max="771" width="32" bestFit="1" customWidth="1"/>
    <col min="772" max="783" width="10.83203125" customWidth="1"/>
    <col min="784" max="784" width="60.83203125" bestFit="1" customWidth="1"/>
    <col min="1023" max="1023" width="3.33203125" customWidth="1"/>
    <col min="1024" max="1025" width="5.1640625" customWidth="1"/>
    <col min="1026" max="1026" width="21.83203125" customWidth="1"/>
    <col min="1027" max="1027" width="32" bestFit="1" customWidth="1"/>
    <col min="1028" max="1039" width="10.83203125" customWidth="1"/>
    <col min="1040" max="1040" width="60.83203125" bestFit="1" customWidth="1"/>
    <col min="1279" max="1279" width="3.33203125" customWidth="1"/>
    <col min="1280" max="1281" width="5.1640625" customWidth="1"/>
    <col min="1282" max="1282" width="21.83203125" customWidth="1"/>
    <col min="1283" max="1283" width="32" bestFit="1" customWidth="1"/>
    <col min="1284" max="1295" width="10.83203125" customWidth="1"/>
    <col min="1296" max="1296" width="60.83203125" bestFit="1" customWidth="1"/>
    <col min="1535" max="1535" width="3.33203125" customWidth="1"/>
    <col min="1536" max="1537" width="5.1640625" customWidth="1"/>
    <col min="1538" max="1538" width="21.83203125" customWidth="1"/>
    <col min="1539" max="1539" width="32" bestFit="1" customWidth="1"/>
    <col min="1540" max="1551" width="10.83203125" customWidth="1"/>
    <col min="1552" max="1552" width="60.83203125" bestFit="1" customWidth="1"/>
    <col min="1791" max="1791" width="3.33203125" customWidth="1"/>
    <col min="1792" max="1793" width="5.1640625" customWidth="1"/>
    <col min="1794" max="1794" width="21.83203125" customWidth="1"/>
    <col min="1795" max="1795" width="32" bestFit="1" customWidth="1"/>
    <col min="1796" max="1807" width="10.83203125" customWidth="1"/>
    <col min="1808" max="1808" width="60.83203125" bestFit="1" customWidth="1"/>
    <col min="2047" max="2047" width="3.33203125" customWidth="1"/>
    <col min="2048" max="2049" width="5.1640625" customWidth="1"/>
    <col min="2050" max="2050" width="21.83203125" customWidth="1"/>
    <col min="2051" max="2051" width="32" bestFit="1" customWidth="1"/>
    <col min="2052" max="2063" width="10.83203125" customWidth="1"/>
    <col min="2064" max="2064" width="60.83203125" bestFit="1" customWidth="1"/>
    <col min="2303" max="2303" width="3.33203125" customWidth="1"/>
    <col min="2304" max="2305" width="5.1640625" customWidth="1"/>
    <col min="2306" max="2306" width="21.83203125" customWidth="1"/>
    <col min="2307" max="2307" width="32" bestFit="1" customWidth="1"/>
    <col min="2308" max="2319" width="10.83203125" customWidth="1"/>
    <col min="2320" max="2320" width="60.83203125" bestFit="1" customWidth="1"/>
    <col min="2559" max="2559" width="3.33203125" customWidth="1"/>
    <col min="2560" max="2561" width="5.1640625" customWidth="1"/>
    <col min="2562" max="2562" width="21.83203125" customWidth="1"/>
    <col min="2563" max="2563" width="32" bestFit="1" customWidth="1"/>
    <col min="2564" max="2575" width="10.83203125" customWidth="1"/>
    <col min="2576" max="2576" width="60.83203125" bestFit="1" customWidth="1"/>
    <col min="2815" max="2815" width="3.33203125" customWidth="1"/>
    <col min="2816" max="2817" width="5.1640625" customWidth="1"/>
    <col min="2818" max="2818" width="21.83203125" customWidth="1"/>
    <col min="2819" max="2819" width="32" bestFit="1" customWidth="1"/>
    <col min="2820" max="2831" width="10.83203125" customWidth="1"/>
    <col min="2832" max="2832" width="60.83203125" bestFit="1" customWidth="1"/>
    <col min="3071" max="3071" width="3.33203125" customWidth="1"/>
    <col min="3072" max="3073" width="5.1640625" customWidth="1"/>
    <col min="3074" max="3074" width="21.83203125" customWidth="1"/>
    <col min="3075" max="3075" width="32" bestFit="1" customWidth="1"/>
    <col min="3076" max="3087" width="10.83203125" customWidth="1"/>
    <col min="3088" max="3088" width="60.83203125" bestFit="1" customWidth="1"/>
    <col min="3327" max="3327" width="3.33203125" customWidth="1"/>
    <col min="3328" max="3329" width="5.1640625" customWidth="1"/>
    <col min="3330" max="3330" width="21.83203125" customWidth="1"/>
    <col min="3331" max="3331" width="32" bestFit="1" customWidth="1"/>
    <col min="3332" max="3343" width="10.83203125" customWidth="1"/>
    <col min="3344" max="3344" width="60.83203125" bestFit="1" customWidth="1"/>
    <col min="3583" max="3583" width="3.33203125" customWidth="1"/>
    <col min="3584" max="3585" width="5.1640625" customWidth="1"/>
    <col min="3586" max="3586" width="21.83203125" customWidth="1"/>
    <col min="3587" max="3587" width="32" bestFit="1" customWidth="1"/>
    <col min="3588" max="3599" width="10.83203125" customWidth="1"/>
    <col min="3600" max="3600" width="60.83203125" bestFit="1" customWidth="1"/>
    <col min="3839" max="3839" width="3.33203125" customWidth="1"/>
    <col min="3840" max="3841" width="5.1640625" customWidth="1"/>
    <col min="3842" max="3842" width="21.83203125" customWidth="1"/>
    <col min="3843" max="3843" width="32" bestFit="1" customWidth="1"/>
    <col min="3844" max="3855" width="10.83203125" customWidth="1"/>
    <col min="3856" max="3856" width="60.83203125" bestFit="1" customWidth="1"/>
    <col min="4095" max="4095" width="3.33203125" customWidth="1"/>
    <col min="4096" max="4097" width="5.1640625" customWidth="1"/>
    <col min="4098" max="4098" width="21.83203125" customWidth="1"/>
    <col min="4099" max="4099" width="32" bestFit="1" customWidth="1"/>
    <col min="4100" max="4111" width="10.83203125" customWidth="1"/>
    <col min="4112" max="4112" width="60.83203125" bestFit="1" customWidth="1"/>
    <col min="4351" max="4351" width="3.33203125" customWidth="1"/>
    <col min="4352" max="4353" width="5.1640625" customWidth="1"/>
    <col min="4354" max="4354" width="21.83203125" customWidth="1"/>
    <col min="4355" max="4355" width="32" bestFit="1" customWidth="1"/>
    <col min="4356" max="4367" width="10.83203125" customWidth="1"/>
    <col min="4368" max="4368" width="60.83203125" bestFit="1" customWidth="1"/>
    <col min="4607" max="4607" width="3.33203125" customWidth="1"/>
    <col min="4608" max="4609" width="5.1640625" customWidth="1"/>
    <col min="4610" max="4610" width="21.83203125" customWidth="1"/>
    <col min="4611" max="4611" width="32" bestFit="1" customWidth="1"/>
    <col min="4612" max="4623" width="10.83203125" customWidth="1"/>
    <col min="4624" max="4624" width="60.83203125" bestFit="1" customWidth="1"/>
    <col min="4863" max="4863" width="3.33203125" customWidth="1"/>
    <col min="4864" max="4865" width="5.1640625" customWidth="1"/>
    <col min="4866" max="4866" width="21.83203125" customWidth="1"/>
    <col min="4867" max="4867" width="32" bestFit="1" customWidth="1"/>
    <col min="4868" max="4879" width="10.83203125" customWidth="1"/>
    <col min="4880" max="4880" width="60.83203125" bestFit="1" customWidth="1"/>
    <col min="5119" max="5119" width="3.33203125" customWidth="1"/>
    <col min="5120" max="5121" width="5.1640625" customWidth="1"/>
    <col min="5122" max="5122" width="21.83203125" customWidth="1"/>
    <col min="5123" max="5123" width="32" bestFit="1" customWidth="1"/>
    <col min="5124" max="5135" width="10.83203125" customWidth="1"/>
    <col min="5136" max="5136" width="60.83203125" bestFit="1" customWidth="1"/>
    <col min="5375" max="5375" width="3.33203125" customWidth="1"/>
    <col min="5376" max="5377" width="5.1640625" customWidth="1"/>
    <col min="5378" max="5378" width="21.83203125" customWidth="1"/>
    <col min="5379" max="5379" width="32" bestFit="1" customWidth="1"/>
    <col min="5380" max="5391" width="10.83203125" customWidth="1"/>
    <col min="5392" max="5392" width="60.83203125" bestFit="1" customWidth="1"/>
    <col min="5631" max="5631" width="3.33203125" customWidth="1"/>
    <col min="5632" max="5633" width="5.1640625" customWidth="1"/>
    <col min="5634" max="5634" width="21.83203125" customWidth="1"/>
    <col min="5635" max="5635" width="32" bestFit="1" customWidth="1"/>
    <col min="5636" max="5647" width="10.83203125" customWidth="1"/>
    <col min="5648" max="5648" width="60.83203125" bestFit="1" customWidth="1"/>
    <col min="5887" max="5887" width="3.33203125" customWidth="1"/>
    <col min="5888" max="5889" width="5.1640625" customWidth="1"/>
    <col min="5890" max="5890" width="21.83203125" customWidth="1"/>
    <col min="5891" max="5891" width="32" bestFit="1" customWidth="1"/>
    <col min="5892" max="5903" width="10.83203125" customWidth="1"/>
    <col min="5904" max="5904" width="60.83203125" bestFit="1" customWidth="1"/>
    <col min="6143" max="6143" width="3.33203125" customWidth="1"/>
    <col min="6144" max="6145" width="5.1640625" customWidth="1"/>
    <col min="6146" max="6146" width="21.83203125" customWidth="1"/>
    <col min="6147" max="6147" width="32" bestFit="1" customWidth="1"/>
    <col min="6148" max="6159" width="10.83203125" customWidth="1"/>
    <col min="6160" max="6160" width="60.83203125" bestFit="1" customWidth="1"/>
    <col min="6399" max="6399" width="3.33203125" customWidth="1"/>
    <col min="6400" max="6401" width="5.1640625" customWidth="1"/>
    <col min="6402" max="6402" width="21.83203125" customWidth="1"/>
    <col min="6403" max="6403" width="32" bestFit="1" customWidth="1"/>
    <col min="6404" max="6415" width="10.83203125" customWidth="1"/>
    <col min="6416" max="6416" width="60.83203125" bestFit="1" customWidth="1"/>
    <col min="6655" max="6655" width="3.33203125" customWidth="1"/>
    <col min="6656" max="6657" width="5.1640625" customWidth="1"/>
    <col min="6658" max="6658" width="21.83203125" customWidth="1"/>
    <col min="6659" max="6659" width="32" bestFit="1" customWidth="1"/>
    <col min="6660" max="6671" width="10.83203125" customWidth="1"/>
    <col min="6672" max="6672" width="60.83203125" bestFit="1" customWidth="1"/>
    <col min="6911" max="6911" width="3.33203125" customWidth="1"/>
    <col min="6912" max="6913" width="5.1640625" customWidth="1"/>
    <col min="6914" max="6914" width="21.83203125" customWidth="1"/>
    <col min="6915" max="6915" width="32" bestFit="1" customWidth="1"/>
    <col min="6916" max="6927" width="10.83203125" customWidth="1"/>
    <col min="6928" max="6928" width="60.83203125" bestFit="1" customWidth="1"/>
    <col min="7167" max="7167" width="3.33203125" customWidth="1"/>
    <col min="7168" max="7169" width="5.1640625" customWidth="1"/>
    <col min="7170" max="7170" width="21.83203125" customWidth="1"/>
    <col min="7171" max="7171" width="32" bestFit="1" customWidth="1"/>
    <col min="7172" max="7183" width="10.83203125" customWidth="1"/>
    <col min="7184" max="7184" width="60.83203125" bestFit="1" customWidth="1"/>
    <col min="7423" max="7423" width="3.33203125" customWidth="1"/>
    <col min="7424" max="7425" width="5.1640625" customWidth="1"/>
    <col min="7426" max="7426" width="21.83203125" customWidth="1"/>
    <col min="7427" max="7427" width="32" bestFit="1" customWidth="1"/>
    <col min="7428" max="7439" width="10.83203125" customWidth="1"/>
    <col min="7440" max="7440" width="60.83203125" bestFit="1" customWidth="1"/>
    <col min="7679" max="7679" width="3.33203125" customWidth="1"/>
    <col min="7680" max="7681" width="5.1640625" customWidth="1"/>
    <col min="7682" max="7682" width="21.83203125" customWidth="1"/>
    <col min="7683" max="7683" width="32" bestFit="1" customWidth="1"/>
    <col min="7684" max="7695" width="10.83203125" customWidth="1"/>
    <col min="7696" max="7696" width="60.83203125" bestFit="1" customWidth="1"/>
    <col min="7935" max="7935" width="3.33203125" customWidth="1"/>
    <col min="7936" max="7937" width="5.1640625" customWidth="1"/>
    <col min="7938" max="7938" width="21.83203125" customWidth="1"/>
    <col min="7939" max="7939" width="32" bestFit="1" customWidth="1"/>
    <col min="7940" max="7951" width="10.83203125" customWidth="1"/>
    <col min="7952" max="7952" width="60.83203125" bestFit="1" customWidth="1"/>
    <col min="8191" max="8191" width="3.33203125" customWidth="1"/>
    <col min="8192" max="8193" width="5.1640625" customWidth="1"/>
    <col min="8194" max="8194" width="21.83203125" customWidth="1"/>
    <col min="8195" max="8195" width="32" bestFit="1" customWidth="1"/>
    <col min="8196" max="8207" width="10.83203125" customWidth="1"/>
    <col min="8208" max="8208" width="60.83203125" bestFit="1" customWidth="1"/>
    <col min="8447" max="8447" width="3.33203125" customWidth="1"/>
    <col min="8448" max="8449" width="5.1640625" customWidth="1"/>
    <col min="8450" max="8450" width="21.83203125" customWidth="1"/>
    <col min="8451" max="8451" width="32" bestFit="1" customWidth="1"/>
    <col min="8452" max="8463" width="10.83203125" customWidth="1"/>
    <col min="8464" max="8464" width="60.83203125" bestFit="1" customWidth="1"/>
    <col min="8703" max="8703" width="3.33203125" customWidth="1"/>
    <col min="8704" max="8705" width="5.1640625" customWidth="1"/>
    <col min="8706" max="8706" width="21.83203125" customWidth="1"/>
    <col min="8707" max="8707" width="32" bestFit="1" customWidth="1"/>
    <col min="8708" max="8719" width="10.83203125" customWidth="1"/>
    <col min="8720" max="8720" width="60.83203125" bestFit="1" customWidth="1"/>
    <col min="8959" max="8959" width="3.33203125" customWidth="1"/>
    <col min="8960" max="8961" width="5.1640625" customWidth="1"/>
    <col min="8962" max="8962" width="21.83203125" customWidth="1"/>
    <col min="8963" max="8963" width="32" bestFit="1" customWidth="1"/>
    <col min="8964" max="8975" width="10.83203125" customWidth="1"/>
    <col min="8976" max="8976" width="60.83203125" bestFit="1" customWidth="1"/>
    <col min="9215" max="9215" width="3.33203125" customWidth="1"/>
    <col min="9216" max="9217" width="5.1640625" customWidth="1"/>
    <col min="9218" max="9218" width="21.83203125" customWidth="1"/>
    <col min="9219" max="9219" width="32" bestFit="1" customWidth="1"/>
    <col min="9220" max="9231" width="10.83203125" customWidth="1"/>
    <col min="9232" max="9232" width="60.83203125" bestFit="1" customWidth="1"/>
    <col min="9471" max="9471" width="3.33203125" customWidth="1"/>
    <col min="9472" max="9473" width="5.1640625" customWidth="1"/>
    <col min="9474" max="9474" width="21.83203125" customWidth="1"/>
    <col min="9475" max="9475" width="32" bestFit="1" customWidth="1"/>
    <col min="9476" max="9487" width="10.83203125" customWidth="1"/>
    <col min="9488" max="9488" width="60.83203125" bestFit="1" customWidth="1"/>
    <col min="9727" max="9727" width="3.33203125" customWidth="1"/>
    <col min="9728" max="9729" width="5.1640625" customWidth="1"/>
    <col min="9730" max="9730" width="21.83203125" customWidth="1"/>
    <col min="9731" max="9731" width="32" bestFit="1" customWidth="1"/>
    <col min="9732" max="9743" width="10.83203125" customWidth="1"/>
    <col min="9744" max="9744" width="60.83203125" bestFit="1" customWidth="1"/>
    <col min="9983" max="9983" width="3.33203125" customWidth="1"/>
    <col min="9984" max="9985" width="5.1640625" customWidth="1"/>
    <col min="9986" max="9986" width="21.83203125" customWidth="1"/>
    <col min="9987" max="9987" width="32" bestFit="1" customWidth="1"/>
    <col min="9988" max="9999" width="10.83203125" customWidth="1"/>
    <col min="10000" max="10000" width="60.83203125" bestFit="1" customWidth="1"/>
    <col min="10239" max="10239" width="3.33203125" customWidth="1"/>
    <col min="10240" max="10241" width="5.1640625" customWidth="1"/>
    <col min="10242" max="10242" width="21.83203125" customWidth="1"/>
    <col min="10243" max="10243" width="32" bestFit="1" customWidth="1"/>
    <col min="10244" max="10255" width="10.83203125" customWidth="1"/>
    <col min="10256" max="10256" width="60.83203125" bestFit="1" customWidth="1"/>
    <col min="10495" max="10495" width="3.33203125" customWidth="1"/>
    <col min="10496" max="10497" width="5.1640625" customWidth="1"/>
    <col min="10498" max="10498" width="21.83203125" customWidth="1"/>
    <col min="10499" max="10499" width="32" bestFit="1" customWidth="1"/>
    <col min="10500" max="10511" width="10.83203125" customWidth="1"/>
    <col min="10512" max="10512" width="60.83203125" bestFit="1" customWidth="1"/>
    <col min="10751" max="10751" width="3.33203125" customWidth="1"/>
    <col min="10752" max="10753" width="5.1640625" customWidth="1"/>
    <col min="10754" max="10754" width="21.83203125" customWidth="1"/>
    <col min="10755" max="10755" width="32" bestFit="1" customWidth="1"/>
    <col min="10756" max="10767" width="10.83203125" customWidth="1"/>
    <col min="10768" max="10768" width="60.83203125" bestFit="1" customWidth="1"/>
    <col min="11007" max="11007" width="3.33203125" customWidth="1"/>
    <col min="11008" max="11009" width="5.1640625" customWidth="1"/>
    <col min="11010" max="11010" width="21.83203125" customWidth="1"/>
    <col min="11011" max="11011" width="32" bestFit="1" customWidth="1"/>
    <col min="11012" max="11023" width="10.83203125" customWidth="1"/>
    <col min="11024" max="11024" width="60.83203125" bestFit="1" customWidth="1"/>
    <col min="11263" max="11263" width="3.33203125" customWidth="1"/>
    <col min="11264" max="11265" width="5.1640625" customWidth="1"/>
    <col min="11266" max="11266" width="21.83203125" customWidth="1"/>
    <col min="11267" max="11267" width="32" bestFit="1" customWidth="1"/>
    <col min="11268" max="11279" width="10.83203125" customWidth="1"/>
    <col min="11280" max="11280" width="60.83203125" bestFit="1" customWidth="1"/>
    <col min="11519" max="11519" width="3.33203125" customWidth="1"/>
    <col min="11520" max="11521" width="5.1640625" customWidth="1"/>
    <col min="11522" max="11522" width="21.83203125" customWidth="1"/>
    <col min="11523" max="11523" width="32" bestFit="1" customWidth="1"/>
    <col min="11524" max="11535" width="10.83203125" customWidth="1"/>
    <col min="11536" max="11536" width="60.83203125" bestFit="1" customWidth="1"/>
    <col min="11775" max="11775" width="3.33203125" customWidth="1"/>
    <col min="11776" max="11777" width="5.1640625" customWidth="1"/>
    <col min="11778" max="11778" width="21.83203125" customWidth="1"/>
    <col min="11779" max="11779" width="32" bestFit="1" customWidth="1"/>
    <col min="11780" max="11791" width="10.83203125" customWidth="1"/>
    <col min="11792" max="11792" width="60.83203125" bestFit="1" customWidth="1"/>
    <col min="12031" max="12031" width="3.33203125" customWidth="1"/>
    <col min="12032" max="12033" width="5.1640625" customWidth="1"/>
    <col min="12034" max="12034" width="21.83203125" customWidth="1"/>
    <col min="12035" max="12035" width="32" bestFit="1" customWidth="1"/>
    <col min="12036" max="12047" width="10.83203125" customWidth="1"/>
    <col min="12048" max="12048" width="60.83203125" bestFit="1" customWidth="1"/>
    <col min="12287" max="12287" width="3.33203125" customWidth="1"/>
    <col min="12288" max="12289" width="5.1640625" customWidth="1"/>
    <col min="12290" max="12290" width="21.83203125" customWidth="1"/>
    <col min="12291" max="12291" width="32" bestFit="1" customWidth="1"/>
    <col min="12292" max="12303" width="10.83203125" customWidth="1"/>
    <col min="12304" max="12304" width="60.83203125" bestFit="1" customWidth="1"/>
    <col min="12543" max="12543" width="3.33203125" customWidth="1"/>
    <col min="12544" max="12545" width="5.1640625" customWidth="1"/>
    <col min="12546" max="12546" width="21.83203125" customWidth="1"/>
    <col min="12547" max="12547" width="32" bestFit="1" customWidth="1"/>
    <col min="12548" max="12559" width="10.83203125" customWidth="1"/>
    <col min="12560" max="12560" width="60.83203125" bestFit="1" customWidth="1"/>
    <col min="12799" max="12799" width="3.33203125" customWidth="1"/>
    <col min="12800" max="12801" width="5.1640625" customWidth="1"/>
    <col min="12802" max="12802" width="21.83203125" customWidth="1"/>
    <col min="12803" max="12803" width="32" bestFit="1" customWidth="1"/>
    <col min="12804" max="12815" width="10.83203125" customWidth="1"/>
    <col min="12816" max="12816" width="60.83203125" bestFit="1" customWidth="1"/>
    <col min="13055" max="13055" width="3.33203125" customWidth="1"/>
    <col min="13056" max="13057" width="5.1640625" customWidth="1"/>
    <col min="13058" max="13058" width="21.83203125" customWidth="1"/>
    <col min="13059" max="13059" width="32" bestFit="1" customWidth="1"/>
    <col min="13060" max="13071" width="10.83203125" customWidth="1"/>
    <col min="13072" max="13072" width="60.83203125" bestFit="1" customWidth="1"/>
    <col min="13311" max="13311" width="3.33203125" customWidth="1"/>
    <col min="13312" max="13313" width="5.1640625" customWidth="1"/>
    <col min="13314" max="13314" width="21.83203125" customWidth="1"/>
    <col min="13315" max="13315" width="32" bestFit="1" customWidth="1"/>
    <col min="13316" max="13327" width="10.83203125" customWidth="1"/>
    <col min="13328" max="13328" width="60.83203125" bestFit="1" customWidth="1"/>
    <col min="13567" max="13567" width="3.33203125" customWidth="1"/>
    <col min="13568" max="13569" width="5.1640625" customWidth="1"/>
    <col min="13570" max="13570" width="21.83203125" customWidth="1"/>
    <col min="13571" max="13571" width="32" bestFit="1" customWidth="1"/>
    <col min="13572" max="13583" width="10.83203125" customWidth="1"/>
    <col min="13584" max="13584" width="60.83203125" bestFit="1" customWidth="1"/>
    <col min="13823" max="13823" width="3.33203125" customWidth="1"/>
    <col min="13824" max="13825" width="5.1640625" customWidth="1"/>
    <col min="13826" max="13826" width="21.83203125" customWidth="1"/>
    <col min="13827" max="13827" width="32" bestFit="1" customWidth="1"/>
    <col min="13828" max="13839" width="10.83203125" customWidth="1"/>
    <col min="13840" max="13840" width="60.83203125" bestFit="1" customWidth="1"/>
    <col min="14079" max="14079" width="3.33203125" customWidth="1"/>
    <col min="14080" max="14081" width="5.1640625" customWidth="1"/>
    <col min="14082" max="14082" width="21.83203125" customWidth="1"/>
    <col min="14083" max="14083" width="32" bestFit="1" customWidth="1"/>
    <col min="14084" max="14095" width="10.83203125" customWidth="1"/>
    <col min="14096" max="14096" width="60.83203125" bestFit="1" customWidth="1"/>
    <col min="14335" max="14335" width="3.33203125" customWidth="1"/>
    <col min="14336" max="14337" width="5.1640625" customWidth="1"/>
    <col min="14338" max="14338" width="21.83203125" customWidth="1"/>
    <col min="14339" max="14339" width="32" bestFit="1" customWidth="1"/>
    <col min="14340" max="14351" width="10.83203125" customWidth="1"/>
    <col min="14352" max="14352" width="60.83203125" bestFit="1" customWidth="1"/>
    <col min="14591" max="14591" width="3.33203125" customWidth="1"/>
    <col min="14592" max="14593" width="5.1640625" customWidth="1"/>
    <col min="14594" max="14594" width="21.83203125" customWidth="1"/>
    <col min="14595" max="14595" width="32" bestFit="1" customWidth="1"/>
    <col min="14596" max="14607" width="10.83203125" customWidth="1"/>
    <col min="14608" max="14608" width="60.83203125" bestFit="1" customWidth="1"/>
    <col min="14847" max="14847" width="3.33203125" customWidth="1"/>
    <col min="14848" max="14849" width="5.1640625" customWidth="1"/>
    <col min="14850" max="14850" width="21.83203125" customWidth="1"/>
    <col min="14851" max="14851" width="32" bestFit="1" customWidth="1"/>
    <col min="14852" max="14863" width="10.83203125" customWidth="1"/>
    <col min="14864" max="14864" width="60.83203125" bestFit="1" customWidth="1"/>
    <col min="15103" max="15103" width="3.33203125" customWidth="1"/>
    <col min="15104" max="15105" width="5.1640625" customWidth="1"/>
    <col min="15106" max="15106" width="21.83203125" customWidth="1"/>
    <col min="15107" max="15107" width="32" bestFit="1" customWidth="1"/>
    <col min="15108" max="15119" width="10.83203125" customWidth="1"/>
    <col min="15120" max="15120" width="60.83203125" bestFit="1" customWidth="1"/>
    <col min="15359" max="15359" width="3.33203125" customWidth="1"/>
    <col min="15360" max="15361" width="5.1640625" customWidth="1"/>
    <col min="15362" max="15362" width="21.83203125" customWidth="1"/>
    <col min="15363" max="15363" width="32" bestFit="1" customWidth="1"/>
    <col min="15364" max="15375" width="10.83203125" customWidth="1"/>
    <col min="15376" max="15376" width="60.83203125" bestFit="1" customWidth="1"/>
    <col min="15615" max="15615" width="3.33203125" customWidth="1"/>
    <col min="15616" max="15617" width="5.1640625" customWidth="1"/>
    <col min="15618" max="15618" width="21.83203125" customWidth="1"/>
    <col min="15619" max="15619" width="32" bestFit="1" customWidth="1"/>
    <col min="15620" max="15631" width="10.83203125" customWidth="1"/>
    <col min="15632" max="15632" width="60.83203125" bestFit="1" customWidth="1"/>
    <col min="15871" max="15871" width="3.33203125" customWidth="1"/>
    <col min="15872" max="15873" width="5.1640625" customWidth="1"/>
    <col min="15874" max="15874" width="21.83203125" customWidth="1"/>
    <col min="15875" max="15875" width="32" bestFit="1" customWidth="1"/>
    <col min="15876" max="15887" width="10.83203125" customWidth="1"/>
    <col min="15888" max="15888" width="60.83203125" bestFit="1" customWidth="1"/>
    <col min="16127" max="16127" width="3.33203125" customWidth="1"/>
    <col min="16128" max="16129" width="5.1640625" customWidth="1"/>
    <col min="16130" max="16130" width="21.83203125" customWidth="1"/>
    <col min="16131" max="16131" width="32" bestFit="1" customWidth="1"/>
    <col min="16132" max="16143" width="10.83203125" customWidth="1"/>
    <col min="16144" max="16144" width="60.83203125" bestFit="1" customWidth="1"/>
  </cols>
  <sheetData>
    <row r="2" spans="1:18" s="2" customFormat="1" ht="30.5" customHeight="1" thickBot="1">
      <c r="A2" s="3"/>
      <c r="B2" s="4" t="s">
        <v>0</v>
      </c>
      <c r="C2" s="5"/>
      <c r="D2" s="43"/>
      <c r="E2" s="43"/>
      <c r="F2" s="43"/>
      <c r="G2" s="6"/>
      <c r="H2" s="43"/>
      <c r="I2" s="43"/>
      <c r="J2" s="43"/>
      <c r="K2" s="43"/>
      <c r="L2" s="6"/>
      <c r="M2" s="6"/>
      <c r="N2" s="6"/>
      <c r="O2" s="6"/>
      <c r="P2" s="7">
        <v>46054</v>
      </c>
      <c r="Q2" s="8"/>
    </row>
    <row r="3" spans="1:18" s="2" customFormat="1" ht="26" customHeight="1" thickBot="1">
      <c r="A3" s="56"/>
      <c r="B3" s="57"/>
      <c r="C3" s="58"/>
      <c r="D3" s="59" t="s">
        <v>24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1"/>
      <c r="P3" s="9"/>
      <c r="Q3" s="8"/>
    </row>
    <row r="4" spans="1:18" s="2" customFormat="1" ht="26" customHeight="1" thickBot="1">
      <c r="A4" s="10"/>
      <c r="B4" s="11" t="s">
        <v>45</v>
      </c>
      <c r="C4" s="12" t="s">
        <v>54</v>
      </c>
      <c r="D4" s="75" t="s">
        <v>1</v>
      </c>
      <c r="E4" s="76" t="s">
        <v>2</v>
      </c>
      <c r="F4" s="76" t="s">
        <v>23</v>
      </c>
      <c r="G4" s="76" t="s">
        <v>4</v>
      </c>
      <c r="H4" s="76" t="s">
        <v>5</v>
      </c>
      <c r="I4" s="76" t="s">
        <v>6</v>
      </c>
      <c r="J4" s="76" t="s">
        <v>7</v>
      </c>
      <c r="K4" s="76" t="s">
        <v>8</v>
      </c>
      <c r="L4" s="77" t="s">
        <v>9</v>
      </c>
      <c r="M4" s="77" t="s">
        <v>10</v>
      </c>
      <c r="N4" s="77" t="s">
        <v>11</v>
      </c>
      <c r="O4" s="78" t="s">
        <v>12</v>
      </c>
      <c r="P4" s="12" t="s">
        <v>55</v>
      </c>
      <c r="Q4" s="8"/>
    </row>
    <row r="5" spans="1:18" ht="43" customHeight="1">
      <c r="A5" s="13">
        <v>1</v>
      </c>
      <c r="B5" s="15" t="s">
        <v>27</v>
      </c>
      <c r="C5" s="14" t="s">
        <v>32</v>
      </c>
      <c r="D5" s="79"/>
      <c r="E5" s="84" t="s">
        <v>39</v>
      </c>
      <c r="F5" s="79"/>
      <c r="G5" s="79"/>
      <c r="H5" s="80"/>
      <c r="I5" s="80"/>
      <c r="J5" s="80"/>
      <c r="K5" s="80"/>
      <c r="L5" s="80"/>
      <c r="M5" s="80"/>
      <c r="N5" s="80"/>
      <c r="O5" s="81"/>
      <c r="P5" s="16" t="s">
        <v>56</v>
      </c>
      <c r="Q5" s="110" t="s">
        <v>39</v>
      </c>
      <c r="R5" s="111" t="s">
        <v>44</v>
      </c>
    </row>
    <row r="6" spans="1:18" s="2" customFormat="1" ht="43" customHeight="1">
      <c r="A6" s="17">
        <v>2</v>
      </c>
      <c r="B6" s="37" t="s">
        <v>28</v>
      </c>
      <c r="C6" s="45" t="s">
        <v>33</v>
      </c>
      <c r="D6" s="82"/>
      <c r="E6" s="82"/>
      <c r="F6" s="82"/>
      <c r="G6" s="82"/>
      <c r="H6" s="83"/>
      <c r="I6" s="84"/>
      <c r="J6" s="82"/>
      <c r="K6" s="82"/>
      <c r="L6" s="84"/>
      <c r="M6" s="82"/>
      <c r="N6" s="84"/>
      <c r="O6" s="85"/>
      <c r="P6" s="18" t="s">
        <v>57</v>
      </c>
      <c r="Q6" s="8"/>
    </row>
    <row r="7" spans="1:18" s="2" customFormat="1" ht="43" customHeight="1">
      <c r="A7" s="17">
        <v>3</v>
      </c>
      <c r="B7" s="37" t="s">
        <v>29</v>
      </c>
      <c r="C7" s="45" t="s">
        <v>34</v>
      </c>
      <c r="D7" s="82"/>
      <c r="E7" s="84"/>
      <c r="F7" s="84"/>
      <c r="G7" s="84" t="s">
        <v>40</v>
      </c>
      <c r="H7" s="82"/>
      <c r="I7" s="82"/>
      <c r="J7" s="82"/>
      <c r="K7" s="82"/>
      <c r="L7" s="84"/>
      <c r="M7" s="84"/>
      <c r="N7" s="84"/>
      <c r="O7" s="87"/>
      <c r="P7" s="55" t="s">
        <v>26</v>
      </c>
      <c r="Q7" s="8"/>
    </row>
    <row r="8" spans="1:18" s="2" customFormat="1" ht="43" customHeight="1">
      <c r="A8" s="17">
        <v>4</v>
      </c>
      <c r="B8" s="45" t="s">
        <v>30</v>
      </c>
      <c r="C8" s="37" t="s">
        <v>25</v>
      </c>
      <c r="D8" s="88"/>
      <c r="E8" s="86"/>
      <c r="F8" s="86"/>
      <c r="G8" s="86"/>
      <c r="H8" s="84"/>
      <c r="I8" s="89"/>
      <c r="J8" s="89"/>
      <c r="K8" s="82"/>
      <c r="L8" s="89"/>
      <c r="M8" s="89"/>
      <c r="N8" s="84"/>
      <c r="O8" s="85"/>
      <c r="P8" s="18" t="s">
        <v>38</v>
      </c>
      <c r="Q8" s="8"/>
    </row>
    <row r="9" spans="1:18" s="2" customFormat="1" ht="43" customHeight="1" thickBot="1">
      <c r="A9" s="19">
        <v>5</v>
      </c>
      <c r="B9" s="102" t="s">
        <v>31</v>
      </c>
      <c r="C9" s="103" t="s">
        <v>35</v>
      </c>
      <c r="D9" s="104"/>
      <c r="E9" s="90"/>
      <c r="F9" s="90"/>
      <c r="G9" s="90"/>
      <c r="H9" s="91"/>
      <c r="I9" s="113" t="s">
        <v>41</v>
      </c>
      <c r="J9" s="92"/>
      <c r="K9" s="92"/>
      <c r="L9" s="92"/>
      <c r="M9" s="92"/>
      <c r="N9" s="92"/>
      <c r="O9" s="92"/>
      <c r="P9" s="20" t="s">
        <v>53</v>
      </c>
      <c r="Q9" s="8"/>
    </row>
    <row r="10" spans="1:18" s="2" customFormat="1" ht="26" customHeight="1" thickBot="1">
      <c r="A10" s="10"/>
      <c r="B10" s="11" t="s">
        <v>46</v>
      </c>
      <c r="C10" s="12" t="s">
        <v>54</v>
      </c>
      <c r="D10" s="75" t="s">
        <v>1</v>
      </c>
      <c r="E10" s="76" t="s">
        <v>2</v>
      </c>
      <c r="F10" s="76" t="s">
        <v>23</v>
      </c>
      <c r="G10" s="76" t="s">
        <v>4</v>
      </c>
      <c r="H10" s="76" t="s">
        <v>5</v>
      </c>
      <c r="I10" s="77" t="s">
        <v>6</v>
      </c>
      <c r="J10" s="76" t="s">
        <v>7</v>
      </c>
      <c r="K10" s="76" t="s">
        <v>8</v>
      </c>
      <c r="L10" s="77" t="s">
        <v>9</v>
      </c>
      <c r="M10" s="77" t="s">
        <v>10</v>
      </c>
      <c r="N10" s="77" t="s">
        <v>11</v>
      </c>
      <c r="O10" s="78" t="s">
        <v>12</v>
      </c>
      <c r="P10" s="12" t="s">
        <v>55</v>
      </c>
      <c r="Q10" s="8"/>
    </row>
    <row r="11" spans="1:18" ht="43" customHeight="1">
      <c r="A11" s="13">
        <v>6</v>
      </c>
      <c r="B11" s="15" t="s">
        <v>27</v>
      </c>
      <c r="C11" s="14" t="s">
        <v>36</v>
      </c>
      <c r="D11" s="79"/>
      <c r="E11" s="79"/>
      <c r="F11" s="79"/>
      <c r="G11" s="79"/>
      <c r="H11" s="80"/>
      <c r="I11" s="80"/>
      <c r="J11" s="80"/>
      <c r="K11" s="80" t="s">
        <v>42</v>
      </c>
      <c r="L11" s="80"/>
      <c r="M11" s="80"/>
      <c r="N11" s="80"/>
      <c r="O11" s="81"/>
      <c r="P11" s="16"/>
      <c r="R11" s="46"/>
    </row>
    <row r="12" spans="1:18" s="2" customFormat="1" ht="43" customHeight="1" thickBot="1">
      <c r="A12" s="19">
        <v>7</v>
      </c>
      <c r="B12" s="44" t="s">
        <v>28</v>
      </c>
      <c r="C12" s="102" t="s">
        <v>37</v>
      </c>
      <c r="D12" s="107"/>
      <c r="E12" s="107"/>
      <c r="F12" s="107"/>
      <c r="G12" s="107"/>
      <c r="H12" s="108"/>
      <c r="I12" s="92"/>
      <c r="J12" s="107"/>
      <c r="K12" s="107"/>
      <c r="L12" s="92"/>
      <c r="M12" s="107" t="s">
        <v>43</v>
      </c>
      <c r="N12" s="92"/>
      <c r="O12" s="109"/>
      <c r="P12" s="20"/>
      <c r="Q12" s="8"/>
    </row>
    <row r="13" spans="1:18" s="2" customFormat="1" ht="26" customHeight="1" thickBot="1">
      <c r="A13" s="21"/>
      <c r="B13" s="8"/>
      <c r="C13" s="22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4"/>
      <c r="P13" s="23" t="s">
        <v>13</v>
      </c>
      <c r="Q13" s="8"/>
    </row>
    <row r="14" spans="1:18" s="2" customFormat="1" ht="26" customHeight="1" thickBot="1">
      <c r="A14" s="56" t="s">
        <v>14</v>
      </c>
      <c r="B14" s="57"/>
      <c r="C14" s="58"/>
      <c r="D14" s="75" t="s">
        <v>1</v>
      </c>
      <c r="E14" s="77" t="s">
        <v>2</v>
      </c>
      <c r="F14" s="77" t="s">
        <v>3</v>
      </c>
      <c r="G14" s="77" t="s">
        <v>4</v>
      </c>
      <c r="H14" s="77" t="s">
        <v>5</v>
      </c>
      <c r="I14" s="77" t="s">
        <v>6</v>
      </c>
      <c r="J14" s="77" t="s">
        <v>7</v>
      </c>
      <c r="K14" s="77" t="s">
        <v>8</v>
      </c>
      <c r="L14" s="77" t="s">
        <v>9</v>
      </c>
      <c r="M14" s="77" t="s">
        <v>10</v>
      </c>
      <c r="N14" s="77" t="s">
        <v>11</v>
      </c>
      <c r="O14" s="78" t="s">
        <v>12</v>
      </c>
      <c r="P14" s="24" t="s">
        <v>55</v>
      </c>
      <c r="Q14" s="8"/>
    </row>
    <row r="15" spans="1:18" s="2" customFormat="1" ht="32">
      <c r="A15" s="62" t="s">
        <v>51</v>
      </c>
      <c r="B15" s="63"/>
      <c r="C15" s="64"/>
      <c r="D15" s="95">
        <v>0</v>
      </c>
      <c r="E15" s="96">
        <v>0</v>
      </c>
      <c r="F15" s="97">
        <v>6</v>
      </c>
      <c r="G15" s="97">
        <v>6</v>
      </c>
      <c r="H15" s="97" t="s">
        <v>47</v>
      </c>
      <c r="I15" s="97">
        <v>14</v>
      </c>
      <c r="J15" s="97" t="s">
        <v>48</v>
      </c>
      <c r="K15" s="97">
        <v>22</v>
      </c>
      <c r="L15" s="97" t="s">
        <v>49</v>
      </c>
      <c r="M15" s="97">
        <v>32</v>
      </c>
      <c r="N15" s="97" t="s">
        <v>50</v>
      </c>
      <c r="O15" s="98">
        <v>50</v>
      </c>
      <c r="P15" s="42"/>
      <c r="Q15" s="8"/>
    </row>
    <row r="16" spans="1:18" s="2" customFormat="1" ht="26" customHeight="1">
      <c r="A16" s="65" t="s">
        <v>15</v>
      </c>
      <c r="B16" s="66"/>
      <c r="C16" s="67"/>
      <c r="D16" s="99">
        <v>0</v>
      </c>
      <c r="E16" s="49">
        <v>0</v>
      </c>
      <c r="F16" s="39">
        <v>216</v>
      </c>
      <c r="G16" s="39">
        <v>216</v>
      </c>
      <c r="H16" s="39">
        <v>504</v>
      </c>
      <c r="I16" s="39">
        <v>504</v>
      </c>
      <c r="J16" s="39">
        <v>792</v>
      </c>
      <c r="K16" s="39">
        <v>792</v>
      </c>
      <c r="L16" s="39">
        <v>1272</v>
      </c>
      <c r="M16" s="39">
        <v>1272</v>
      </c>
      <c r="N16" s="39">
        <v>2136</v>
      </c>
      <c r="O16" s="25">
        <v>2136</v>
      </c>
      <c r="P16" s="26"/>
      <c r="Q16" s="8"/>
    </row>
    <row r="17" spans="1:18" s="2" customFormat="1" ht="26" customHeight="1">
      <c r="A17" s="65" t="s">
        <v>16</v>
      </c>
      <c r="B17" s="66"/>
      <c r="C17" s="67"/>
      <c r="D17" s="99">
        <v>0</v>
      </c>
      <c r="E17" s="49">
        <v>0</v>
      </c>
      <c r="F17" s="39">
        <v>108</v>
      </c>
      <c r="G17" s="39">
        <v>108</v>
      </c>
      <c r="H17" s="39">
        <v>252</v>
      </c>
      <c r="I17" s="39">
        <v>252</v>
      </c>
      <c r="J17" s="39">
        <v>396</v>
      </c>
      <c r="K17" s="39">
        <v>396</v>
      </c>
      <c r="L17" s="39">
        <v>636</v>
      </c>
      <c r="M17" s="39">
        <v>636</v>
      </c>
      <c r="N17" s="39">
        <v>1068</v>
      </c>
      <c r="O17" s="25">
        <v>1068</v>
      </c>
      <c r="P17" s="26"/>
      <c r="Q17" s="8"/>
    </row>
    <row r="18" spans="1:18" s="2" customFormat="1" ht="26" customHeight="1">
      <c r="A18" s="65" t="s">
        <v>17</v>
      </c>
      <c r="B18" s="66"/>
      <c r="C18" s="67"/>
      <c r="D18" s="99">
        <v>0</v>
      </c>
      <c r="E18" s="49">
        <v>0</v>
      </c>
      <c r="F18" s="49">
        <v>300</v>
      </c>
      <c r="G18" s="39">
        <v>0</v>
      </c>
      <c r="H18" s="39">
        <v>0</v>
      </c>
      <c r="I18" s="39">
        <v>0</v>
      </c>
      <c r="J18" s="39">
        <v>300</v>
      </c>
      <c r="K18" s="39">
        <v>200</v>
      </c>
      <c r="L18" s="39">
        <v>0</v>
      </c>
      <c r="M18" s="39">
        <v>0</v>
      </c>
      <c r="N18" s="39">
        <v>0</v>
      </c>
      <c r="O18" s="25">
        <v>0</v>
      </c>
      <c r="P18" s="26"/>
      <c r="Q18" s="8"/>
    </row>
    <row r="19" spans="1:18" s="2" customFormat="1" ht="26" customHeight="1">
      <c r="A19" s="69" t="s">
        <v>18</v>
      </c>
      <c r="B19" s="70"/>
      <c r="C19" s="71"/>
      <c r="D19" s="100">
        <v>0</v>
      </c>
      <c r="E19" s="50">
        <v>100</v>
      </c>
      <c r="F19" s="40">
        <v>30</v>
      </c>
      <c r="G19" s="40">
        <v>50</v>
      </c>
      <c r="H19" s="40">
        <v>100</v>
      </c>
      <c r="I19" s="40">
        <v>50</v>
      </c>
      <c r="J19" s="40">
        <v>50</v>
      </c>
      <c r="K19" s="40">
        <v>60</v>
      </c>
      <c r="L19" s="40">
        <v>70</v>
      </c>
      <c r="M19" s="40">
        <v>70</v>
      </c>
      <c r="N19" s="40">
        <v>90</v>
      </c>
      <c r="O19" s="27">
        <v>90</v>
      </c>
      <c r="P19" s="26"/>
      <c r="Q19" s="8"/>
    </row>
    <row r="20" spans="1:18" s="2" customFormat="1" ht="26" customHeight="1">
      <c r="A20" s="69" t="s">
        <v>19</v>
      </c>
      <c r="B20" s="70"/>
      <c r="C20" s="71"/>
      <c r="D20" s="99">
        <v>0</v>
      </c>
      <c r="E20" s="50">
        <v>0</v>
      </c>
      <c r="F20" s="40">
        <v>300</v>
      </c>
      <c r="G20" s="40">
        <v>20</v>
      </c>
      <c r="H20" s="40">
        <v>430</v>
      </c>
      <c r="I20" s="40">
        <v>30</v>
      </c>
      <c r="J20" s="40">
        <v>530</v>
      </c>
      <c r="K20" s="40">
        <v>30</v>
      </c>
      <c r="L20" s="40">
        <v>640</v>
      </c>
      <c r="M20" s="40">
        <v>40</v>
      </c>
      <c r="N20" s="40">
        <v>750</v>
      </c>
      <c r="O20" s="25">
        <v>50</v>
      </c>
      <c r="P20" s="28"/>
      <c r="Q20" s="8"/>
    </row>
    <row r="21" spans="1:18" s="2" customFormat="1" ht="26" customHeight="1" thickBot="1">
      <c r="A21" s="72" t="s">
        <v>20</v>
      </c>
      <c r="B21" s="73"/>
      <c r="C21" s="74"/>
      <c r="D21" s="101">
        <v>500</v>
      </c>
      <c r="E21" s="41">
        <f>SUM(D21)+E18+E19-E20</f>
        <v>600</v>
      </c>
      <c r="F21" s="41">
        <f>SUM(E21)+F18+F19-F20</f>
        <v>630</v>
      </c>
      <c r="G21" s="41">
        <f t="shared" ref="G21:N21" si="0">SUM(F21)+G18+G19-G20</f>
        <v>660</v>
      </c>
      <c r="H21" s="41">
        <f t="shared" si="0"/>
        <v>330</v>
      </c>
      <c r="I21" s="41">
        <f t="shared" si="0"/>
        <v>350</v>
      </c>
      <c r="J21" s="41">
        <f t="shared" si="0"/>
        <v>170</v>
      </c>
      <c r="K21" s="41">
        <f t="shared" si="0"/>
        <v>400</v>
      </c>
      <c r="L21" s="41">
        <f t="shared" si="0"/>
        <v>-170</v>
      </c>
      <c r="M21" s="41">
        <f t="shared" si="0"/>
        <v>-140</v>
      </c>
      <c r="N21" s="41">
        <f t="shared" si="0"/>
        <v>-800</v>
      </c>
      <c r="O21" s="35">
        <f>SUM(N21)+O18+O19-O20</f>
        <v>-760</v>
      </c>
      <c r="P21" s="29"/>
      <c r="Q21" s="8"/>
    </row>
    <row r="22" spans="1:18" s="2" customFormat="1" ht="26" customHeight="1">
      <c r="A22" s="52"/>
      <c r="B22" s="51"/>
      <c r="C22" s="53"/>
      <c r="D22" s="51"/>
      <c r="E22" s="51"/>
      <c r="F22" s="51"/>
      <c r="G22" s="51"/>
      <c r="H22" s="68"/>
      <c r="I22" s="68"/>
      <c r="J22" s="68"/>
      <c r="K22" s="68"/>
      <c r="L22" s="51"/>
      <c r="M22" s="51"/>
      <c r="N22" s="51"/>
      <c r="O22" s="51"/>
      <c r="P22" s="54"/>
      <c r="Q22" s="8"/>
    </row>
    <row r="23" spans="1:18" s="2" customFormat="1" ht="26" customHeight="1">
      <c r="A23" s="115" t="s">
        <v>52</v>
      </c>
      <c r="B23" s="105"/>
      <c r="C23" s="106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14"/>
      <c r="Q23" s="8"/>
    </row>
    <row r="24" spans="1:18" ht="24">
      <c r="A24" s="112" t="s">
        <v>21</v>
      </c>
      <c r="B24" s="33"/>
      <c r="C24" s="32"/>
      <c r="D24" s="33"/>
      <c r="E24" s="33"/>
      <c r="F24" s="33"/>
      <c r="G24" s="34"/>
      <c r="H24" s="33"/>
      <c r="I24" s="33"/>
      <c r="J24" s="33"/>
      <c r="K24" s="33"/>
      <c r="L24" s="33"/>
      <c r="N24" s="47"/>
      <c r="O24" s="33"/>
      <c r="P24" s="32"/>
      <c r="R24" s="46"/>
    </row>
    <row r="25" spans="1:18" ht="24">
      <c r="A25" s="112" t="s">
        <v>22</v>
      </c>
      <c r="F25" s="33"/>
      <c r="G25" s="34"/>
      <c r="H25" s="34"/>
      <c r="I25" s="33"/>
      <c r="J25" s="33"/>
      <c r="K25" s="33"/>
      <c r="L25" s="33"/>
      <c r="N25" s="47"/>
      <c r="O25" s="33"/>
      <c r="P25" s="32"/>
      <c r="R25" s="46"/>
    </row>
    <row r="26" spans="1:18" ht="24">
      <c r="A26" s="34"/>
      <c r="B26" s="33"/>
      <c r="C26" s="32"/>
      <c r="F26" s="33"/>
      <c r="G26" s="34"/>
      <c r="H26" s="34"/>
      <c r="I26" s="33"/>
      <c r="J26" s="33"/>
      <c r="K26" s="33"/>
      <c r="L26" s="33"/>
      <c r="N26" s="47"/>
      <c r="O26" s="33"/>
      <c r="P26" s="32"/>
      <c r="R26" s="46"/>
    </row>
    <row r="27" spans="1:18" ht="24">
      <c r="A27" s="34"/>
      <c r="B27" s="33"/>
      <c r="C27" s="32"/>
      <c r="F27" s="33"/>
      <c r="G27" s="34"/>
      <c r="H27" s="34"/>
      <c r="I27" s="33"/>
      <c r="J27" s="33"/>
      <c r="K27" s="33"/>
      <c r="L27" s="33"/>
      <c r="N27" s="47"/>
      <c r="O27" s="33"/>
      <c r="P27" s="32"/>
      <c r="R27" s="46"/>
    </row>
    <row r="28" spans="1:18" ht="24">
      <c r="A28" s="34"/>
      <c r="B28" s="33"/>
      <c r="C28" s="32"/>
      <c r="F28" s="33"/>
      <c r="H28" s="34"/>
      <c r="I28" s="33"/>
      <c r="J28" s="33"/>
      <c r="K28" s="33"/>
      <c r="L28" s="33"/>
      <c r="N28" s="47"/>
      <c r="O28" s="33"/>
      <c r="P28" s="32"/>
      <c r="R28" s="46"/>
    </row>
    <row r="29" spans="1:18" ht="24">
      <c r="A29" s="34"/>
      <c r="B29" s="33"/>
      <c r="C29" s="32"/>
      <c r="F29" s="33"/>
      <c r="H29" s="34"/>
      <c r="I29" s="33"/>
      <c r="J29" s="33"/>
      <c r="K29" s="33"/>
      <c r="L29" s="33"/>
      <c r="N29" s="47"/>
      <c r="O29" s="33"/>
      <c r="P29" s="32"/>
      <c r="R29" s="46"/>
    </row>
    <row r="30" spans="1:18" ht="24">
      <c r="A30" s="34"/>
      <c r="B30" s="33"/>
      <c r="C30" s="32"/>
      <c r="F30" s="33"/>
      <c r="H30" s="34"/>
      <c r="I30" s="33"/>
      <c r="J30" s="33"/>
      <c r="K30" s="33"/>
      <c r="L30" s="33"/>
      <c r="N30" s="47"/>
      <c r="O30" s="33"/>
      <c r="P30" s="32"/>
      <c r="R30" s="46"/>
    </row>
    <row r="31" spans="1:18" ht="24">
      <c r="A31" s="34"/>
      <c r="B31" s="33"/>
      <c r="C31" s="32"/>
      <c r="F31" s="33"/>
      <c r="H31" s="34"/>
      <c r="I31" s="33"/>
      <c r="J31" s="33"/>
      <c r="K31" s="33"/>
      <c r="L31" s="33"/>
      <c r="N31" s="47"/>
      <c r="O31" s="33"/>
      <c r="P31" s="32"/>
      <c r="R31" s="46"/>
    </row>
    <row r="32" spans="1:18" ht="24">
      <c r="A32" s="34"/>
      <c r="B32" s="33"/>
      <c r="C32" s="32"/>
      <c r="F32" s="33"/>
      <c r="H32" s="34"/>
      <c r="I32" s="33"/>
      <c r="J32" s="33"/>
      <c r="K32" s="33"/>
      <c r="L32" s="33"/>
      <c r="N32" s="47"/>
      <c r="O32" s="33"/>
      <c r="P32" s="32"/>
      <c r="R32" s="46"/>
    </row>
    <row r="33" spans="1:19" ht="24">
      <c r="A33" s="34"/>
      <c r="B33" s="33"/>
      <c r="C33" s="32"/>
      <c r="F33" s="33"/>
      <c r="H33" s="34"/>
      <c r="I33" s="33"/>
      <c r="J33" s="33"/>
      <c r="K33" s="33"/>
      <c r="L33" s="33"/>
      <c r="N33" s="47"/>
      <c r="O33" s="33"/>
      <c r="P33" s="32"/>
      <c r="R33" s="46"/>
    </row>
    <row r="34" spans="1:19" ht="24">
      <c r="A34" s="34"/>
      <c r="B34" s="33"/>
      <c r="C34" s="32"/>
      <c r="F34" s="33"/>
      <c r="H34" s="34"/>
      <c r="I34" s="33"/>
      <c r="J34" s="33"/>
      <c r="K34" s="33"/>
      <c r="L34" s="33"/>
      <c r="N34" s="47"/>
      <c r="O34" s="33"/>
      <c r="P34" s="32"/>
      <c r="R34" s="46"/>
    </row>
    <row r="35" spans="1:19" ht="24">
      <c r="A35" s="34"/>
      <c r="B35" s="33"/>
      <c r="C35" s="32"/>
      <c r="F35" s="33"/>
      <c r="H35" s="34"/>
      <c r="I35" s="33"/>
      <c r="J35" s="33"/>
      <c r="K35" s="33"/>
      <c r="L35" s="33"/>
      <c r="N35" s="47"/>
      <c r="O35" s="33"/>
      <c r="P35" s="32"/>
      <c r="R35" s="46"/>
    </row>
    <row r="36" spans="1:19" s="1" customFormat="1" ht="24">
      <c r="A36" s="34"/>
      <c r="B36" s="30"/>
      <c r="C36" s="31"/>
      <c r="D36" s="33"/>
      <c r="E36" s="33"/>
      <c r="F36" s="33"/>
      <c r="G36" s="34"/>
      <c r="H36" s="32"/>
      <c r="I36" s="33"/>
      <c r="J36" s="32"/>
      <c r="K36" s="33"/>
      <c r="L36" s="33"/>
      <c r="M36" s="34"/>
      <c r="N36"/>
      <c r="O36" s="33"/>
      <c r="P36" s="32"/>
      <c r="Q36" s="8"/>
    </row>
    <row r="37" spans="1:19" s="1" customFormat="1" ht="24">
      <c r="D37" s="30"/>
      <c r="E37" s="30"/>
      <c r="F37" s="33"/>
      <c r="G37" s="36"/>
      <c r="H37" s="33"/>
      <c r="I37" s="33"/>
      <c r="J37" s="33"/>
      <c r="K37" s="33"/>
      <c r="L37" s="33"/>
      <c r="M37" s="34"/>
      <c r="N37" s="47"/>
      <c r="O37" s="33"/>
      <c r="P37" s="33"/>
      <c r="Q37" s="8"/>
    </row>
    <row r="38" spans="1:19" s="1" customFormat="1" ht="24">
      <c r="A38" s="34"/>
      <c r="F38" s="33"/>
      <c r="G38" s="34"/>
      <c r="H38" s="33"/>
      <c r="I38" s="33"/>
      <c r="J38" s="33"/>
      <c r="K38" s="33"/>
      <c r="L38" s="33"/>
      <c r="M38" s="34"/>
      <c r="N38" s="47"/>
      <c r="O38" s="33"/>
      <c r="P38" s="32"/>
      <c r="Q38" s="8"/>
    </row>
    <row r="39" spans="1:19" s="1" customFormat="1" ht="24">
      <c r="A39" s="34"/>
      <c r="B39" s="33"/>
      <c r="C39" s="32"/>
      <c r="D39" s="33"/>
      <c r="E39" s="33"/>
      <c r="F39" s="33"/>
      <c r="G39" s="34"/>
      <c r="H39" s="33"/>
      <c r="I39" s="33"/>
      <c r="J39" s="33"/>
      <c r="K39" s="33"/>
      <c r="L39" s="33"/>
      <c r="N39" s="47"/>
      <c r="O39" s="33"/>
      <c r="P39" s="32"/>
      <c r="Q39" s="8"/>
    </row>
    <row r="40" spans="1:19" s="1" customFormat="1" ht="24">
      <c r="A40" s="32"/>
      <c r="B40" s="33"/>
      <c r="C40" s="32"/>
      <c r="D40" s="33"/>
      <c r="E40" s="33"/>
      <c r="F40" s="33"/>
      <c r="G40" s="33"/>
      <c r="H40" s="33"/>
      <c r="I40" s="33"/>
      <c r="J40" s="33"/>
      <c r="K40" s="33"/>
      <c r="L40" s="33"/>
      <c r="N40" s="48"/>
      <c r="O40" s="33"/>
      <c r="P40" s="32"/>
      <c r="Q40" s="33"/>
      <c r="R40" s="33"/>
      <c r="S40" s="33"/>
    </row>
    <row r="41" spans="1:19" s="1" customFormat="1" ht="24">
      <c r="B41" s="33"/>
      <c r="C41" s="32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2"/>
      <c r="Q41" s="8"/>
    </row>
    <row r="42" spans="1:19" s="1" customFormat="1" ht="24">
      <c r="B42" s="33"/>
      <c r="C42" s="32"/>
      <c r="D42" s="33"/>
      <c r="E42" s="33"/>
      <c r="F42" s="33"/>
      <c r="G42" s="34"/>
      <c r="H42" s="33"/>
      <c r="I42" s="33"/>
      <c r="J42" s="33"/>
      <c r="K42" s="33"/>
      <c r="L42" s="33"/>
      <c r="M42" s="33"/>
      <c r="N42" s="33"/>
      <c r="O42" s="33"/>
      <c r="P42" s="32"/>
      <c r="Q42" s="8"/>
    </row>
    <row r="43" spans="1:19" s="1" customFormat="1" ht="24">
      <c r="A43" s="3"/>
      <c r="B43" s="30"/>
      <c r="C43" s="31"/>
      <c r="D43" s="33"/>
      <c r="E43" s="33"/>
      <c r="F43" s="33"/>
      <c r="G43" s="32"/>
      <c r="H43" s="30"/>
      <c r="I43" s="30"/>
      <c r="J43" s="30"/>
      <c r="K43" s="30"/>
      <c r="L43" s="30"/>
      <c r="M43" s="33"/>
      <c r="N43" s="30"/>
      <c r="O43" s="30"/>
      <c r="P43" s="31"/>
      <c r="Q43" s="8"/>
    </row>
    <row r="44" spans="1:19" s="1" customFormat="1" ht="24">
      <c r="A44" s="3"/>
      <c r="B44" s="30"/>
      <c r="C44" s="31"/>
      <c r="D44" s="30"/>
      <c r="E44" s="33"/>
      <c r="F44" s="33"/>
      <c r="G44" s="34"/>
      <c r="H44" s="30"/>
      <c r="I44" s="30"/>
      <c r="J44" s="30"/>
      <c r="K44" s="30"/>
      <c r="L44" s="30"/>
      <c r="M44" s="33"/>
      <c r="N44" s="30"/>
      <c r="O44" s="30"/>
      <c r="P44" s="31"/>
      <c r="Q44" s="8"/>
    </row>
    <row r="45" spans="1:19" s="1" customFormat="1" ht="24">
      <c r="A45" s="3"/>
      <c r="B45" s="30"/>
      <c r="C45" s="31"/>
      <c r="D45" s="30"/>
      <c r="E45" s="30"/>
      <c r="F45" s="33"/>
      <c r="G45" s="34"/>
      <c r="H45" s="30"/>
      <c r="I45" s="30"/>
      <c r="J45" s="30"/>
      <c r="K45" s="30"/>
      <c r="L45" s="30"/>
      <c r="M45" s="33"/>
      <c r="N45" s="30"/>
      <c r="O45" s="30"/>
      <c r="P45" s="31"/>
      <c r="Q45" s="8"/>
    </row>
    <row r="46" spans="1:19" ht="24">
      <c r="G46" s="34"/>
    </row>
    <row r="47" spans="1:19" ht="24">
      <c r="G47" s="34"/>
    </row>
    <row r="48" spans="1:19" ht="24">
      <c r="G48" s="34"/>
    </row>
    <row r="49" spans="7:7" ht="24">
      <c r="G49" s="32"/>
    </row>
    <row r="50" spans="7:7" ht="24">
      <c r="G50" s="38"/>
    </row>
    <row r="51" spans="7:7" ht="24">
      <c r="G51" s="32"/>
    </row>
    <row r="52" spans="7:7" ht="24">
      <c r="G52" s="32"/>
    </row>
    <row r="53" spans="7:7" ht="24">
      <c r="G53" s="34"/>
    </row>
    <row r="54" spans="7:7" ht="24">
      <c r="G54" s="32"/>
    </row>
    <row r="55" spans="7:7" ht="24">
      <c r="G55" s="32"/>
    </row>
    <row r="56" spans="7:7" ht="24">
      <c r="G56" s="32"/>
    </row>
    <row r="57" spans="7:7" ht="24">
      <c r="G57" s="34"/>
    </row>
    <row r="58" spans="7:7" ht="24">
      <c r="G58" s="34"/>
    </row>
    <row r="59" spans="7:7" ht="24">
      <c r="G59" s="32"/>
    </row>
    <row r="60" spans="7:7" ht="24">
      <c r="G60" s="34"/>
    </row>
    <row r="61" spans="7:7" ht="24">
      <c r="G61" s="34"/>
    </row>
    <row r="62" spans="7:7" ht="24">
      <c r="G62" s="34"/>
    </row>
  </sheetData>
  <mergeCells count="12">
    <mergeCell ref="H22:I22"/>
    <mergeCell ref="J22:K22"/>
    <mergeCell ref="A17:C17"/>
    <mergeCell ref="A18:C18"/>
    <mergeCell ref="A19:C19"/>
    <mergeCell ref="A20:C20"/>
    <mergeCell ref="A21:C21"/>
    <mergeCell ref="A3:C3"/>
    <mergeCell ref="D3:O3"/>
    <mergeCell ref="A14:C14"/>
    <mergeCell ref="A15:C15"/>
    <mergeCell ref="A16:C16"/>
  </mergeCells>
  <phoneticPr fontId="4"/>
  <pageMargins left="0.25" right="0.25" top="0.75" bottom="0.75" header="0.3" footer="0.3"/>
  <pageSetup paperSize="9" scale="49" orientation="landscape" horizontalDpi="4294967293" copies="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</vt:lpstr>
      <vt:lpstr>'2026年'!Print_Area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圭一 太田</cp:lastModifiedBy>
  <cp:lastPrinted>2026-01-23T01:30:05Z</cp:lastPrinted>
  <dcterms:created xsi:type="dcterms:W3CDTF">2022-05-26T21:51:13Z</dcterms:created>
  <dcterms:modified xsi:type="dcterms:W3CDTF">2026-01-31T23:43:47Z</dcterms:modified>
</cp:coreProperties>
</file>